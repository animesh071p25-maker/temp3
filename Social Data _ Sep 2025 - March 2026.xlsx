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nime\Downloads\"/>
    </mc:Choice>
  </mc:AlternateContent>
  <xr:revisionPtr revIDLastSave="0" documentId="13_ncr:80001_{28F123D3-5B74-4B2D-ACB3-7FC864EBFD32}" xr6:coauthVersionLast="36" xr6:coauthVersionMax="36" xr10:uidLastSave="{00000000-0000-0000-0000-000000000000}"/>
  <bookViews>
    <workbookView xWindow="0" yWindow="0" windowWidth="19008" windowHeight="8940" firstSheet="1" activeTab="1" xr2:uid="{00000000-000D-0000-FFFF-FFFF00000000}"/>
  </bookViews>
  <sheets>
    <sheet name="Sheet16" sheetId="2" state="hidden" r:id="rId1"/>
    <sheet name="LinkedIn Cleaned" sheetId="3" r:id="rId2"/>
  </sheets>
  <definedNames>
    <definedName name="_xlnm._FilterDatabase" localSheetId="1" hidden="1">'LinkedIn Cleaned'!$A$1:$O$1098</definedName>
  </definedNames>
  <calcPr calcId="191029"/>
</workbook>
</file>

<file path=xl/calcChain.xml><?xml version="1.0" encoding="utf-8"?>
<calcChain xmlns="http://schemas.openxmlformats.org/spreadsheetml/2006/main">
  <c r="K238" i="3" l="1"/>
  <c r="K237" i="3"/>
  <c r="K236" i="3"/>
  <c r="K235" i="3"/>
  <c r="K234" i="3"/>
  <c r="K233" i="3"/>
  <c r="K232" i="3"/>
  <c r="K231" i="3"/>
  <c r="K230" i="3"/>
  <c r="K229" i="3"/>
  <c r="K228" i="3"/>
  <c r="K227" i="3"/>
  <c r="K226" i="3"/>
  <c r="K225" i="3"/>
  <c r="K224" i="3"/>
  <c r="K223" i="3"/>
  <c r="K222" i="3"/>
  <c r="K221" i="3"/>
  <c r="K220" i="3"/>
  <c r="K219" i="3"/>
  <c r="K218" i="3"/>
  <c r="K217" i="3"/>
  <c r="K216" i="3"/>
  <c r="K215" i="3"/>
  <c r="K214" i="3"/>
  <c r="K213" i="3"/>
  <c r="K212" i="3"/>
  <c r="K211" i="3"/>
  <c r="K210" i="3"/>
  <c r="K209" i="3"/>
  <c r="K208" i="3"/>
  <c r="K207" i="3"/>
  <c r="K206" i="3"/>
  <c r="K205" i="3"/>
  <c r="K204" i="3"/>
  <c r="K203" i="3"/>
  <c r="K202" i="3"/>
  <c r="K201" i="3"/>
  <c r="K200" i="3"/>
  <c r="K199" i="3"/>
  <c r="K198" i="3"/>
  <c r="K197" i="3"/>
  <c r="K196" i="3"/>
  <c r="K195" i="3"/>
  <c r="K194" i="3"/>
  <c r="K193" i="3"/>
  <c r="K192" i="3"/>
  <c r="K191" i="3"/>
  <c r="K190" i="3"/>
  <c r="K189" i="3"/>
  <c r="K188" i="3"/>
  <c r="K187" i="3"/>
  <c r="K186" i="3"/>
  <c r="K185" i="3"/>
  <c r="K184" i="3"/>
  <c r="K183" i="3"/>
  <c r="K182" i="3"/>
  <c r="K181" i="3"/>
  <c r="K180" i="3"/>
  <c r="K179" i="3"/>
  <c r="K178" i="3"/>
  <c r="K177" i="3"/>
  <c r="K176" i="3"/>
  <c r="K175" i="3"/>
  <c r="K174" i="3"/>
  <c r="K173" i="3"/>
  <c r="K172" i="3"/>
  <c r="K171" i="3"/>
  <c r="K170" i="3"/>
  <c r="K169" i="3"/>
  <c r="K168" i="3"/>
  <c r="K167" i="3"/>
  <c r="K166" i="3"/>
  <c r="K165" i="3"/>
  <c r="K164" i="3"/>
  <c r="K163" i="3"/>
  <c r="K162" i="3"/>
  <c r="K161" i="3"/>
  <c r="K160" i="3"/>
  <c r="K159" i="3"/>
  <c r="K158" i="3"/>
  <c r="K157" i="3"/>
  <c r="K156" i="3"/>
  <c r="K155" i="3"/>
  <c r="K154" i="3"/>
  <c r="K153" i="3"/>
  <c r="K152" i="3"/>
  <c r="K151" i="3"/>
  <c r="K150" i="3"/>
  <c r="K149" i="3"/>
  <c r="K148" i="3"/>
  <c r="K147" i="3"/>
  <c r="K146" i="3"/>
  <c r="K145" i="3"/>
  <c r="K144" i="3"/>
  <c r="K143" i="3"/>
  <c r="K142" i="3"/>
  <c r="K141" i="3"/>
  <c r="K140" i="3"/>
  <c r="K139" i="3"/>
  <c r="K138" i="3"/>
  <c r="K137" i="3"/>
  <c r="K136" i="3"/>
  <c r="K135" i="3"/>
  <c r="K134" i="3"/>
  <c r="K133" i="3"/>
  <c r="K132" i="3"/>
  <c r="K131" i="3"/>
  <c r="K130" i="3"/>
  <c r="K129" i="3"/>
  <c r="K128" i="3"/>
  <c r="K127" i="3"/>
  <c r="K126" i="3"/>
  <c r="K125" i="3"/>
  <c r="K124" i="3"/>
  <c r="K123" i="3"/>
  <c r="K122" i="3"/>
  <c r="K121" i="3"/>
  <c r="K120" i="3"/>
  <c r="K119" i="3"/>
  <c r="K118" i="3"/>
  <c r="K117" i="3"/>
  <c r="K116" i="3"/>
  <c r="K115" i="3"/>
  <c r="K114" i="3"/>
  <c r="K113" i="3"/>
  <c r="K112" i="3"/>
  <c r="K111" i="3"/>
  <c r="K110" i="3"/>
  <c r="K109" i="3"/>
  <c r="K108" i="3"/>
  <c r="K107" i="3"/>
  <c r="K106" i="3"/>
  <c r="K105" i="3"/>
  <c r="K104" i="3"/>
  <c r="K103" i="3"/>
  <c r="K102" i="3"/>
  <c r="K101" i="3"/>
  <c r="K100" i="3"/>
  <c r="K99" i="3"/>
  <c r="K98" i="3"/>
  <c r="K97" i="3"/>
  <c r="K96" i="3"/>
  <c r="K95" i="3"/>
  <c r="K94" i="3"/>
  <c r="K7" i="3"/>
  <c r="K6" i="3"/>
  <c r="K5" i="3"/>
  <c r="K4" i="3"/>
  <c r="K3" i="3"/>
  <c r="K2" i="3"/>
</calcChain>
</file>

<file path=xl/sharedStrings.xml><?xml version="1.0" encoding="utf-8"?>
<sst xmlns="http://schemas.openxmlformats.org/spreadsheetml/2006/main" count="811" uniqueCount="545">
  <si>
    <t>Post Link</t>
  </si>
  <si>
    <t>Message</t>
  </si>
  <si>
    <t>Reactions</t>
  </si>
  <si>
    <t>Comments</t>
  </si>
  <si>
    <t>Shares</t>
  </si>
  <si>
    <t>Clicks</t>
  </si>
  <si>
    <t>Impressions</t>
  </si>
  <si>
    <t>Engagement Rate %</t>
  </si>
  <si>
    <t>At KAR-PEDICRITICON 2025, we had the opportunity to present a comprehensive suite of NGS-based solutions designed to transform pediatric diagnostics. From detecting infections with Infexn NGS, FLU-NGS &amp; FEVER-NGS to identifying inborn genetic errors with DGx Pediatrics, our portfolio reflects the future of precision medicine for children. A special thanks to the sales team and the technical from Bangalore - Dr. Shreya Shettar, Dr. R.D Ponmudi, Dr Koushik Koujalagi, Harisha AP, Namith N and Amit Kumar Gupta for their dedication and efforts in making this event a great success. Gitesh Srivastava #HealthCare #Diagnostic #Genomics #PublicHealth</t>
  </si>
  <si>
    <t>CIDSCON 2025 was an experience to remember — and for us, it was about showcasing how infexn™ NGS is changing the game in infection diagnostics. 🚀 Our stall turned into a hub of energy, buzzing with curiosity, conversations, and collaborations. Experts stopped by for coffee ☕ and deep discussions on genomics, while engaging activities like quizzes, case challenges, and thought walls 🧩 made diagnostics interactive and fun. A highlight was Dr. Mahua Das Gupta Kapoor’s session, “Reimagining Genomics in Diagnostics” — sparking fresh perspectives on the future of Genomic based diagnostics. 🎤 And of course, none of it would have been possible without our incredible HaystackAnalytics team, whose passion and dedication powered every moment. 🙌 Stay tuned for more stories, learnings, and breakthrough as we continue to advance diagnostics with infexn™ NGS Gaurav Srivastava Anirvan Chatterjee Dr Mahua Das Gupta (Kapoor) Abhimanyuu Nambisan Pranav Godse siddharth sasane Rohan S SALVI Shuja A. Gitesh Srivastava Mohammad Umair Prachi Singh, PhD Mayank Roy Akhil Bhalerao Simran Malik Simone Jetha Pranali Dongre Shruti Satpute Amrutraj Zade Dr. Nidhi G. Aneesh Nair Ph.D Shareek Ps #HealthCare #PublicHealth #Diagnostic #Genomics</t>
  </si>
  <si>
    <t>At CIDSCON 2025, we invited doctors to share their perspectives on NGS in diagnostics — and responses poured in. 📝✨ From curiosity to conviction, doctors penned their views on whether NGS is truly redefining infection diagnostics. What emerged was a powerful collective voice from the medical community. Each response stood as a reminder that NGS isn’t just a technology — it’s a movement transforming how we detect and manage infectious diseases. Leading this transformation is infexn™ NGS, bringing precision, speed, and confidence to every diagnosis. Gaurav Srivastava Anirvan Chatterjee Dr Mahua Das Gupta (Kapoor) Abhimanyuu Nambisan Pranav Godse siddharth sasane Shuja A. Rohan S SALVI Simran Malik Mohammad Umair Gitesh Srivastava Dr. Nidhi G. Akhil Bhalerao Mayank Roy Shruti Satpute Pranali Dongre Simone Jetha #Genomics #Diagnostic #PublicHealth #Healthcare #Sepsis #InfectiousDiseases</t>
  </si>
  <si>
    <t>At CIDSCON 2025, we invited doctors to share their perspectives on NGS in diagnostics — and responses poured in. 📝✨ From curiosity to conviction, doctors penned their views on whether NGS is truly redefining infection diagnostics. What emerged was a powerful collective voice from the medical community. Each response stood as a reminder that NGS isn’t just a technology — it’s a movement transforming how we detect and manage infectious diseases. Leading this transformation is infexn™ NGS, bringing precision, speed, and confidence to every diagnosis. Gaurav Srivastava Anirvan Chatterjee Dr Mahua Das Gupta (Kapoor) Abhimanyuu Nambisan Pranav Godse siddharth sasane Simran Malik Shuja A. Rohan S SALVI Mohammad Umair Gitesh Srivastava Dr. Nidhi G. Akhil Bhalerao Mayank Roy Pranali Dongre Shruti Satpute #Genomics #Diagnostic #PublicHealth #NGS #Healthcare #CIDSCON2025</t>
  </si>
  <si>
    <t>At CIDSCON 2025, our stall was buzzing with energy! 📝✨ Doctors and attendees didn’t just stop by—they engaged and shared. From participating in clinical- and pathogen-based riddles and quizzes, to voicing their perspectives on NGS in diagnostics and raising awareness about the challenges of sepsis—every interaction brought insights, curiosity, and meaningful conversations. Here’s to more conversations, discoveries, and shared curiosity in the world of diagnostics! Pranali Dongre Shruti Satpute Abhimanyuu Nambisan Pranav Godse Shuja A. siddharth sasane Rohan S SALVI Mohammad Umair Dr. Nidhi G. Simran Malik Akhil Bhalerao Gitesh Srivastava Prachi Singh, PhD #HealthCare #PublicHealth #Diagnostic #CIDSCON2025 #Genomics #InfectiousDiseases</t>
  </si>
  <si>
    <t>6.67
%</t>
  </si>
  <si>
    <t>🏆 Winner Spotlight – Clinical Case Study Contest, CIDSCON 2025 We’re proud to celebrate Dr. Dhakad Jinal Narendra (Jaslok Hospital), whose case study write-up stood out for the way it sparked meaningful insights, encouraged peer learning, and highlighted the importance of thoughtful, evidence-based diagnostics in tackling complex clinical challenges At CIDSCON, the case was further discussed with Dr Mahua Das Gupta (Kapoor) in our Coffee over Genomics series - a conversation that brought the write-up to life with clinical depth and practical perspectives. ✨ Stay tuned — the complete discussion will be out soon on YouTube! #CoffeeOverGenomics #HealthCare #PublicHealth #Diagnostics #Genomics #CIDSCON2025 #ClinicalExcellence #NGS</t>
  </si>
  <si>
    <t>A complex infection. Multiple tests. Yet, every result came back negative. Sputum samples, upper respiratory panels, and broncho cultures all failed to provide clarity, while the patient’s condition continued to deteriorate. Dr. Siddhant Shetty shares his experience with this challenging case, where conventional diagnostics fell short. Turning to sequencing with infexn™ NGS, he was able to identify the accurate pathogen — guiding the right treatment and changing the course of the patient’s care. This case highlights the critical need for precision diagnostics and demonstrates how infexn™ NGS delivers clarity when conventional tests reach their limits Gaurav Srivastava Anirvan Chatterjee Dr Mahua Das Gupta (Kapoor) Abhimanyuu Nambisan Pranav Godse siddharth sasane Shuja A. Rohan S SALVI Mohammad Umair Gitesh Srivastava Rijul Pulikkal Simran Malik #HealthCare #PublicHealth #Diagnostics #Genomics #InfectiousDiseases</t>
  </si>
  <si>
    <t>Redefining pediatric respiratory infection care - one test at a time. Dr. Parul Shukla, Pediatrician - shares how FLU-NGS is transforming the way pediatric respiratory infections are diagnosed and managed. With painless sampling, comprehensive detection, and results delivered in just 24 hours, it gives doctors the clarity they need to make the right treatment decisions — including when antibiotics are not necessary. This not only improves clinical outcomes but also brings immense relief to parents, who gain answers without long waits or unnecessary medications. For children, it means faster recovery, gentler care, and a healthier future — all starting with a single, powerful test. Rohan S SALVI Abhimanyuu Nambisan Pranav Godse siddharth sasane Shuja A. Gitesh Srivastava Mohammad Umair Anupama Pradeepkumar Namith N Gaurav Srivastava Dr Mahua Das Gupta (Kapoor) #HealthCare #Diagnostics #Genomics #PublicHealth #PediatricCare #Pediatrician</t>
  </si>
  <si>
    <t>We’re thrilled to share a proud milestone for HaystackAnalytics on the global stage! 🌍 At an international life sciences event, HaystackAnalytics was honored with not one but two prestigious awards — the Winner Life Sciences Track Award and the Overall Winner Award 🏆. This recognition is a testament to our vision of transforming infectious disease diagnostics through cutting-edge genomic technology. infexn™ NGS, our breakthrough solution in infectious disease detection, continues to redefine how infections are identified and treated — delivering unmatched accuracy, speed, and comprehensiveness to clinicians and patients worldwide. Representing HaystackAnalytics at this global platform were Anirvan Chatterjee (CEO &amp; Co-founder) and Amrutraj Zade (Head – R&amp;D), whose leadership and innovation continue to drive our mission forward. From India to the world, this recognition reinforces our belief that the future of diagnostics is here — and it’s powered by next-generation sequencing. 🚀 Gaurav Srivastava Dr Mahua Das Gupta (Kapoor) Abhimanyuu Nambisan Ranjan K. Pranav Godse siddharth sasane Rohan S SALVI Shuja A. Gitesh Srivastava Anupama Pradeepkumar Namith N Mohammad Umair Vivek Singh Rathore Simran Malik Rijul Pulikkal #HealthCare #PublicHealth #Genomics #LifeScience #Innovation #Diagnostics</t>
  </si>
  <si>
    <t>How is NGS transforming pediatric infectious disease diagnosis? Join us for an insightful webinar on how Next-Generation Sequencing (NGS) is reshaping pediatric critical care by enabling faster, more accurate pathogen detection and improving patient outcomes. 📅 9th October 2025 | 🕔 5 – 6 PM 🎤 Speaker: Dr. Mukul Pandey, PICU Head, St. Stephen’s Hospital, Delhi Moderator: Dr. Koyel Ghosh – Medical Science Liaison, HaystackAnalytics 👇Register now and be part of the future of infectious disease diagnostics!</t>
  </si>
  <si>
    <t>👻 Meet 𝘛𝘦𝘳𝘴𝘪𝘤𝘰𝘤𝘤𝘶𝘴 𝘱𝘩𝘰𝘦𝘯𝘪𝘤𝘪𝘴 — the ghost of the clean room! A microbe so rare it’s only found in NASA &amp; ESA clean rooms… and it might just hitch a ride to space 🚀🦠 Could this tiny survivor hold the key to our next discovery beyond Earth? 🚀 🔬 Follow us for more strange stories from the microbial world! Abhimanyuu Nambisan Pranav Godse siddharth sasane Shuja A. Rohan S SALVI Gitesh Srivastava Anupama Pradeepkumar Namith N Rijul Pulikkal Vivek Singh Rathore Mohammad Umair Gopal Singh #HealthCare #PublicHealth #microbiology #sciencefacts #sciencefun #astrobiology</t>
  </si>
  <si>
    <t>👁️ Infections can silently damage your eyes. This World Sight Day, let’s remember — protecting vision starts with early detection. From Trachoma to Fungal and Herpetic Keratitis, eye infections can cause scarring, pain — even blindness — if left untreated. OPHTHAL- NGS helps detect the exact infectious cause — bacteria, virus, fungus, or parasite — so the right treatment begins on time. Abhimanyuu Nambisan Pranav Godse siddharth sasane Shuja A. Rohan S SALVI Vivek Singh Rathore Mohammad Umair Gitesh Srivastava Anupama Pradeepkumar Namith N Rijul Pulikkal #WorldSightDay #EyeHealth #InfectionAwareness #OphthalNGS #NextGenDiagnostics</t>
  </si>
  <si>
    <t>Round Table Meet | CURI Hospital, Chennai Dr. Koushik Koujalagi led an insightful discussion on the role of NGS-based diagnostics in advancing infection management, supported by expert insights from Dr Mahua Das Gupta (Kapoor) The session showcased the impact of infexn®-NGS, FLU-NGS, and FEVER-NGS in enabling faster, more precise pathogen detection and informed clinical decision-making. It was a collaborative and engaging session, fostering knowledge exchange and highlighting the future of infection diagnostics. #HealthCare #PublicHealth #Diagnostic #Genomics</t>
  </si>
  <si>
    <t>Round Table Meet | Manipal Hospital, Varthur Dr. Shreya Shettar, walked the attendees through real-world case studies of infexn®-NGS, offering practical insights into the impact of NGS-based diagnostics on infection management. Dr.R D PONMUDI Pharm.D complemented this with engaging discussions on IDENTIFI and how it is creating an impact in personalised healthcare, sparking meaningful dialogue among clinicians. The session was highly interactive, combining evidence-based insights with clinical perspectives to explore how genomic diagnostics can drive better patient outcomes. #HealthCare #Genomics #Diagnostics #PublicHealth</t>
  </si>
  <si>
    <t>🧬 Discover the power of precision diagnostics! Join Dr. Shamim Akhtar , HOD, Pulmonology, St. Stephen’s Hospital, Delhi, in an engaging session on the Clinical Impact of NGS for Lower Respiratory Tract Infections. The session will be moderated by Dr. Koyel Ghosh, Medical Science Liaison, HaystackAnalytics, Delhi. Learn how NGS is transforming infectious disease diagnosis, guiding targeted therapies, and improving patient outcomes. 📅 14th October 2025 | 🕔 05:00 PM – 06:00 PM (IST) 🔗 Register now and save your spot! 👇 #Healthcare #PublicHealth #Diagnostic #Genomics #Respiratoryinfections</t>
  </si>
  <si>
    <t>Infection Prevention Week 2025 — Leading the Change with Faster and Precise Detection. With “Stand UPPP for Infection Prevention! Unite. Protect. Prevent. Prevail.” as the theme, infexn™ NGS exemplifies this mission by empowering healthcare teams to detect infections before they escalate, delivering pathogen and AMR gene identification within 24 hours. By uncovering the root cause of infections faster, it supports timely treatment decisions and helps prevent the spread of resistant pathogens. Because stronger prevention starts with faster, smarter insights. Abhimanyuu Nambisan Pranav Godse siddharth sasane Shuja A. Rohan S SALVI Mohammad Umair Gitesh Srivastava Vivek Singh Rathore Anupama Pradeepkumar Namith N Rijul Pulikkal #InfectionPreventionWeek #infexnNGS #healthcare #Publichealth #AMR #InfectionControl #Diagnostics #NGS</t>
  </si>
  <si>
    <t>When recovery takes an unexpected turn. Surgical Site Infections (SSIs) can develop days—or even months—after a procedure, turning the healing process into a serious risk. From redness and localized pain to persistent fever or discharge — every symptom matters. Because early detection doesn’t just treat infections, it prevents complications. This Infection Prevention Week (Oct 19–25), let’s reinforce the importance of rapid, accurate diagnostics in infection control. With infexn™ NGS, identify bacterial, fungal, or viral pathogens causing SSIs within just 24 hours — ensuring patients get the right treatment, right on time. 🧬 Detect Early. Prevent the Spread. Pranav Godse siddharth sasane Shuja A. Rohan S SALVI Mohammad Umair Vivek Singh Rathore Gitesh Srivastava Anupama Pradeepkumar Namith N Rijul Pulikkal #InfectionPreventionWeek #publichealth #Healthcare #EarlyDetection #InfectionControl #Diagnostics #HealthcareInnovation #PatientSafety</t>
  </si>
  <si>
    <t>The countdown to MICROCON 2025 begins! ⏳ We’re just 1 week away from joining India’s leading microbiologists and infectious disease experts to discuss how Next-Generation Sequencing (NGS) is redefining precision in diagnostics. Discover how infexn™ NGS enables clinicians to detect bacterial, viral, and fungal infections — all from a single test — delivering faster, more accurate, and comprehensive results. 📍 Visit us at Stall No. 14 &amp; 15, The Ashok Hotel, New Delhi 🗓 31st Oct – 2nd Nov, 2025 Let’s shape the future of infectious disease diagnosis, together! Vivek Singh Rathore Mohammad Umair Dr. Nidhi G. Koyel Ghosh Simran Malik Simone Jetha Abhimanyuu Nambisan Pranav Godse Shuja A. Gitesh Srivastava Dr Mahua Das Gupta (Kapoor) #HealthCare #PublicHealth #Diagnostic #Genomics</t>
  </si>
  <si>
    <t>4
%</t>
  </si>
  <si>
    <t>Not every innovation needs to change the world — sometimes, it just needs to change someone’s life. Every sample processed, every report delivered, every patient who recovers — is proof that we’re creating an impact where it matters most. It reinforces our purpose of making genomics accessible, affordable, and applicable to all — a purpose that continues to guide every step we take. Abhimanyuu Nambisan Pranav Godse siddharth sasane Shuja A. Rohan S SALVI Gitesh Srivastava Anupama Pradeepkumar Namith N Vivek Singh Rathore Mohammad Umair Rijul Pulikkal #Healthcare #Publichealth #genomics #Diagnostics</t>
  </si>
  <si>
    <t>Round Table Meet | Manipal Hospital, Varthur Dr. Koushik Koujalagi and Dr.R D PONMUDI Pharm.D led engaging sessions on infexn™ NGS and identifi respectively. They explored how advanced genomic technologies are transforming healthcare — from enabling precise infection detection to leveraging genomics for personalized health solutions — providing clinicians with insights to make more informed decisions and improve patient outcomes. Gitesh Srivastava Anupama Pradeepkumar Namith N Abhimanyuu Nambisan #HealthCare #PublicHealth #Diagnostic #Genomics</t>
  </si>
  <si>
    <t>Round Table Meet | Mira Hospital At Mira Hospital, Adrija Mishra MS, CGC (IMA and BGCI), Senior Genetic Counsellor led an insightful session with doctors and RMOs, delving into advanced genomics solutions of identifi. The discussion highlighted how genetic insights can guide more informed clinical decisions, while emphasizing the critical role of genetic counselling in helping patients understand their risks, make proactive health choices, and embrace personalized healthcare approaches. Pranav Godse siddharth sasane Shuja A. Rohan S SALVI #HealthCare #PublicHealth #Diagnostics #Genomics</t>
  </si>
  <si>
    <t>The countdown has begun! ⏳ Only 5 days to go for MICROCON 2025 — where innovation meets precision. Join us as infexn™ NGS takes center stage in redefining infectious disease diagnostics through the power of sequencing. Discover how precision-driven genomics is breaking boundaries in pathogen detection and clinical insights. 📍 The Ashok Hotel, New Delhi 🗓️ 31st Oct – 2nd Nov 🔹 Stall No. 14 &amp; 15 Vivek Singh Rathore Mohammad Umair Dr. Nidhi G. Abhimanyuu Nambisan Koyel Ghosh Simran Malik Simone Jetha Dr Mahua Das Gupta (Kapoor) Gopal Singh #HealthCare #PublicHealth #Diagnostics #Genomics</t>
  </si>
  <si>
    <t>Just 3 days to go! ⏳ We’re gearing up for MICROCON 2025, where infexn™ NGS showcases how Next-Generation Sequencing (NGS) is enhancing the standard in infectious disease diagnosis. From bacteria and fungi to viruses — infexn™ NGS empowers clinicians with comprehensive and precise pathogen detection, enabling faster and more confident diagnosis. Visit our stall to explore how genomics is transforming infectious disease management. 📍 The Ashok Hotel, New Delhi 🗓️ 31st Oct – 2nd Nov, 2025 🔹 Stall No.: 14 &amp; 15 Abhimanyuu Nambisan Mohammad Umair Vivek Singh Rathore Dr. Nidhi G. Koyel Ghosh Simran Malik #Microcon2025 #infexn #HaystackAnalytics #InfectiousDiseases #NGS #PathogenDetection #ClinicalMicrobiology #Diagnostics #HealthcareInnovation</t>
  </si>
  <si>
    <t>A knowledge-rich day at Max Hospital, New Delhi, where leading experts came together for the Pre-Conference Workshop on “Clinical Metagenomics – A Boon in Diagnostic Microbiology.” From discussions on Nanopore Sequencing, Genomic Surveillance, AMR research, to the real-world clinical impact of NGS, the workshop was a convergence of science, innovation, and shared expertise. A special mention to Dr Mahua Das Gupta (Kapoor) for expertly moderating all sessions and guiding insightful conversations throughout the day. Graced by distinguished speakers - Dr Bansidhar Tarai , Anirvan Chatterjee, Dr.Rajesh Pandey, Dr.Adarsh Koppula — who shared their valuable insights and experiences in the field of diagnostic microbiology. A day of shared insights. A step forward in diagnostic excellence. 🧬 Mohammad Umair Dr. Nidhi G. Koyel Ghosh Simran Malik Simone Jetha Vivek Singh Rathore Saamir Rehman #MicroCon2025 #DiagnosticMicrobiology #NGS #InfectiousDiseases #PublicHealth #HealthCare</t>
  </si>
  <si>
    <t>Innovation in infectious disease diagnostics is just around the corner! Join us at MICROCON 2025 as we push the boundaries of conventional microbiology with infexn™ NGS using Next Generation Sequencing (NGS) — a breakthrough approach that provides comprehensive, precise, and data-driven insights into infectious diseases. Discover how genomics is reshaping diagnostics, enabling faster and more accurate pathogen detection, and transforming the way we understand infections. 📍 Visit us at Stall No. 14 &amp; 15 📅 31st Oct – 2nd Nov 2025 🏨 The Ashok Hotel, New Delhi Let’s innovate beyond conventional boundaries — together! 💡 Abhimanyuu Nambisan Mohammad Umair Dr. Nidhi G. Saamir Rehman Gopal Singh Koyel Ghosh Simran Malik Simone Jetha Dr Mahua Das Gupta (Kapoor) #MICROCON2025 #infexn #HaystackAnalytics #NGS #InfectiousDiseases #Diagnostics #Innovation #Microbiology #NextGenSequencing #HealthCare #PublicHealth</t>
  </si>
  <si>
    <t>Leading experts are talking about diagnostic innovation that’s faster, comprehensive, and cost-effective. 🧬 Meet these experts at MICROCON 2025 and attend sessions to explore the innovation transforming infectious disease diagnostics. 📅 31st October 2025 | 📍 Convention Hall 1B 🎙️ Panel Discussion: Rewriting the Diagnostic Playbook in Infectious Diseases 🕕 6:20 PM – 7:00 PM Expert Speakers : Dr. Anirvan Chatterjee Dr Bansidhar Tarai, Dr. Aruna Poojary, Dr. Nilma Hirani , Dr. Siddhant Shetty ✨ Also featuring an exclusive talk by Dr Mahua Das Gupta (Kapoor), Director, Medical Affairs (Infectious Diseases), HaystackAnalytics Pvt. Ltd 🧬 Topic: Reimagining Genomics | ⏰ 6:00 PM – 6:20 PM Abhimanyuu Nambisan Mohammad Umair Dr. Nidhi G. Gopal Singh Saamir Rehman Koyel Ghosh Simran Malik Pranav Godse siddharth sasane Shuja A. Rohan S SALVI Gitesh Srivastava Vivek Singh Rathore Rijul Pulikkal #MICROCON2025 #InfectiousDiseases #Diagnostics #Innovation #Sequencing #HaystackAnalytics</t>
  </si>
  <si>
    <t>Collaboration for a Healthier Tomorrow. HaystackAnalytics joins hands with Immunoshop to advance the clinical adoption of infexn® NGS across India at MICROCON 2025. Together, we’re transforming how infectious diseases are diagnosed — combining Haystack’s genomic innovation with Immunoshop’s diagnostic reach to make precision testing a clinical reality. This collaboration marks a key step toward strengthening India’s infectious disease diagnostic ecosystem, ensuring that precision healthcare is accessible to clinicians and patients across the country. Gaurav Srivastava Anirvan Chatterjee Manoj Monga Dr Mahua Das Gupta (Kapoor) Abhimanyuu Nambisan Mohammad Umair Dr. Nidhi G. Inder Rawat Saamir Rehman Pranav Godse siddharth sasane Shuja A. Rohan S SALVI Simran Malik Koyel Ghosh Simone Jetha Gitesh Srivastava Anupama Pradeepkumar Namith N Rijul Pulikkal Raghu Raaj Shriya Gupte #Healthcare #PublicHealth #Diagnostic #Genomics #Collaboration #InfectiousDiseases</t>
  </si>
  <si>
    <t>A microbe with a built-in compass? 🧭 𝘔𝘢𝘨𝘯𝘦𝘵𝘰𝘴𝘱𝘪𝘳𝘪𝘭𝘭𝘶𝘮 𝘮𝘢𝘨𝘯𝘦𝘵𝘪𝘤𝘶𝘮 doesn’t just follow Earth’s magnetic field — it might one day help guide cancer treatments too. Nature’s navigator turned medical innovator. Abhimanyuu Nambisan Pranav Godse Shuja A. siddharth sasane Rohan S SALVI Gitesh Srivastava Anupama Pradeepkumar Namith N Vivek Singh Rathore Mohammad Umair Gopal Singh masoom siddiqui Rijul Pulikkal #Healthcare #PublicHealth #Sciencefun #Biology #Microbiology</t>
  </si>
  <si>
    <t>MICROCON 2025 — From Conventional to Genomics-Driven Diagnostics. 🧬 At this year’s event, infexn NGS took center stage — redefining infectious disease diagnostics with speed, accuracy, and clinical impact. From thought-provoking sessions and expert panel discussions to engaging conversations with clinicians and microbiologists, the momentum was truly inspiring. The event also marked a strategic partnership with Immunoshop, strengthening our mission to make genomics-driven diagnostics accessible to clinicians and laboratories across India. Overall, MICROCON 2025 was a celebration of science, collaboration, and innovation — bringing us one step closer to transforming infection care through genomics. Gaurav Srivastava Anirvan Chatterjee Manoj Monga Immunoshop Mohammad Umair Dr. Nidhi G. Vivek Singh Rathore masoom siddiqui Saamir Rehman Simone Jetha Dr Mahua Das Gupta (Kapoor) Koyel Ghosh Simran Malik Abhimanyuu Nambisan Inder Rawat #MICROCON2025 #HaystackAnalytics #infexnNGS #Immunoshop #InfectiousDiseases #Genomics #ClinicalDiagnostics #PrecisionMedicine #HealthcareInnovation #Microbiology #PublicHealth #HealthCare</t>
  </si>
  <si>
    <t>Celebrating creativity, innovation, and insights at MICROCON 2025! 🌟 We proudly recognize the winners of the Microblog Contest — 💡Dr. Kevin Joseph, Maulana Azad Medical College, Senior Resident 💡Dr. DEEPAK KOCHER , AIIMS, New Delhi, Phd Scholar 💡Mansi Suri, Manav Rachna International Institute of Research and Studies Each winner brought a unique perspective on Next-Gen Diagnostics: From Hypothesis Intense to High-Throughput, capturing how innovation and scientific thoughts are shaping the future of infectious disease detection and precision diagnostics. Their voices truly embody the spirit of progress in diagnostic science. Simran Malik Simone Jetha Koyel Ghosh Mohammad Umair Dr. Nidhi G. Vivek Singh Rathore #MICROCON2025 #MicroblogContest #DiagnosticsInnovation #NextGenDiagnostics #Microbiology #PrecisionMedicine #InnovationInHealthcare #HaystackAnalytics</t>
  </si>
  <si>
    <t>Insightful discussions took center stage at the Round Table Meet held at HBS Hospital, Shivaji Nagar. Experts shared perspectives on Sepsis management, early detection using infexn NGS, and the power of genomics with identifi. The session highlighted how technology and collaboration are transforming healthcare outcomes. Together, we’re advancing the future of personalized, precise and proactive care Gitesh Srivastava Koushik Koujalagi Dr.R D PONMUDI Pharm.D Dr SHAMSHUZOHA M HBS Hospital Abhimanyuu Nambisan Anupama Pradeepkumar Namith N #RoundTableMeet #HealthcareInnovation #HealthCare #PublicHealth #HaystackAnalytics #infexn #identifi</t>
  </si>
  <si>
    <t>From infection detection to genomic insights — we’re redefining how pediatric health challenges are approached. Our advanced solutions, FLU-NGS, FEVER-NGS, and DGx Pediatric Screening, empower healthcare professionals with rapid, actionable insights for better clinical decisions. Redefining care. Reimagining the future of pediatric health with advanced genomics. Vivek Singh Rathore Koyel Ghosh Yasmeen Kauser Abhimanyuu Nambisan #PediatricHealth #GenomicDiagnostics #ClinicalInnovation #PrecisionMedicine #HealthcareTransformation #NextGenDiagnostics</t>
  </si>
  <si>
    <t>When a strong heart becomes too thick, it’s not just muscle — it’s a message. Hypertrophic Cardiomyopathy (HCM) is often a silent genetic condition caused by mutations in MYH7 and MYBPC3 genes, affecting families across generations. With DGx Cardio Screening, early detection becomes possible through a simple genetic test that identifies inherited risks, guides treatment, and enables cascade testing for families. Empowering clinicians and individuals to act early, live freely, and safeguard future generations through the power of genomics. Abhimanyuu Nambisan Pranav Godse Shuja A. Rohan S SALVI Gitesh Srivastava Anupama Pradeepkumar Mohammad Umair Rijul Pulikkal Vivek Singh Rathore Namith N Gopal Singh #CardioGenomics #PrecisionMedicine #HealthcareInnovation #GeneticTesting #HeartHealth</t>
  </si>
  <si>
    <t>This World Pneumonia Day 2025, themed “Child Survival,” we’re reminded that every breath matters. Every 43 seconds, pneumonia claims a young life — a life that could have been saved through timely detection and accurate diagnosis. Pneumonia remains one of the world’s most preventable yet deadly infections in children. With infexn-NGS, we’re redefining how infections are identified — using advanced genomic solutions for faster, more precise results. Let’s take a step forward this World Pneumonia Day to ensure no breath goes unnoticed and no life is lost to late detection. Abhimanyuu Nambisan Pranav Godse Shuja A. Rohan S SALVI siddharth sasane Gitesh Srivastava Anupama Pradeepkumar Namith N Vivek Singh Rathore Mohammad Umair Rijul Pulikkal #WorldPneumoniaDay #PneumoniaAwareness #NextGenDiagnostics #ChildHealth #PrecisionMedicine #Infexn #HaystackAnalytics</t>
  </si>
  <si>
    <t>Pneumonia continues to be the world’s leading cause of infectious disease for children, claiming more lives each year than malaria, HIV, and measles combined. Yet, it often begins silently — with mild symptoms that resemble a common flu. By the time it’s recognized, it can rapidly progress to respiratory distress, sepsis, or even death, especially in children under five. infexn NGS changes the game with early and precise detection. Our direct-from-sample genomic solution, enables timely and accurate diagnosis within 24 hours, identifying both the pathogen and AMR genes to guide targeted therapy. Early diagnosis doesn’t just treat pneumonia — it prevents lives from being lost too soon. Abhimanyuu Nambisan Pranav Godse siddharth sasane Mohammad Umair Gitesh Srivastava Rohan S SALVI Vivek Singh Rathore Rijul Pulikkal #WorldPneumoniaDay #ChildHealth #GenomicDiagnostics #HealthcareInnovation #PrecisionMedicine #INFEXN #NextGenDiagnostics</t>
  </si>
  <si>
    <t>Mutation ≠ Always Bad. It’s simply a change in your DNA sequence — a natural variation that shapes who we are. While some mutations may cause diseases, others define our individuality, drive evolution, and enable adaptation. Understanding these genetic variations is key to advancing personalized healthcare. With identifi we explore how genomic insights empower early detection, proactive prevention, and a deeper understanding of what makes each of us truly unique. Abhimanyuu Nambisan Pranav Godse siddharth sasane Gitesh Srivastava Mohammad Umair Vivek Singh Rathore Rijul Pulikkal Anupama Pradeepkumar Namith N #Personalisedcare #Proactivecare #HealthCare #PublicHealth #PrecisionMedicine #GeneticTesting #EarlyDetection #InnovationInHealth</t>
  </si>
  <si>
    <t>Round Table Meet | Apollo Hospital Banglore An insightful knowledge exchange at Apollo Hospital, Seshadripuram, where clinical expertise meets cutting-edge diagnostics. This Round Table Meet brought together Dr. Koushik Koujalagi and Dr Himaaldev G J to explore how infexn- NGS powered by Next Generation Sequencing (NGS) is reshaping the future of infectious disease diagnosis. From faster turnaround to data-driven insights, NGS is empowering clinicians to make precise, more confident decisions for better patient outcomes. Abhimanyuu Nambisan Gitesh Srivastava Anupama Pradeepkumar Namith N Apollo Hospitals #NGS #InfectiousDiseases #HaystackAnalytics #infexnNGS #Healthcare #PublicHealth #PrecisionMedicine</t>
  </si>
  <si>
    <t>You share 99.9% of your DNA with every human on earth. It’s the remaining 0.1% difference that defines your unique traits, sensitivities, appearance — and even your health risks. These small variations influence how your genes work and how your body responds to the world around you. From physical characteristics to disease predisposition, your DNA holds in depth insights into your wellbeing. With identifi's genetic testing solutions, we decode these insights to support early detection, proactive prevention, and better lifestyle decisions. Abhimanyuu Nambisan Pranav Godse Rohan S SALVI Shuja A. siddharth sasane Mohammad Umair Vivek Singh Rathore Gitesh Srivastava Rijul Pulikkal Gopal Singh #EverydayGenetics #GenomicScience #PrecisionMedicine #EarlyDetection #PreventiveHealthcare #InnovationInHealth</t>
  </si>
  <si>
    <t>RTM | Navachetana Hospital, Bengaluru At our Round Table Meet hosted at Navachethana Hospital, Bengaluru, Koushik Koujalagi led an insightful session on how Next Generation Sequencing (NGS) is transforming infection detection. From identifying accurate pathogens to delivering faster and more precise results, infexn® - NGS is reshaping the way clinicians diagnose and manage infectious diseases — empowering them with deeper clarity and confident decision-making. Gitesh Srivastava Anupama Pradeepkumar Namith N Abhimanyuu Nambisan #infexn #PublicHealth #Diagnostics #HealthcareInnovation #HaystackAnalytics #Healthcare</t>
  </si>
  <si>
    <t>Antimicrobial Resistance: No more a silent pandemic 🚨 Dr. Simran Malik, Medical Science Liaison, shares critical insights on AMR, revealing the global statistics and emphasizing the profound future impact of this crisis. This was Dr. Simran's 1-Minute on AMR. Now, it's your turn. Share your minute and be part of the solution! Simran Malik Dr Mahua Das Gupta (Kapoor) Simone Jetha Abhimanyuu Nambisan Pranav Godse siddharth sasane Rohan S SALVI Shuja A. Gitesh Srivastava Anupama Pradeepkumar Namith N Mohammad Umair Vivek Singh Rathore Gopal Singh Rijul Pulikkal Raghu Raaj Gaurav Srivastava #AMR #AntimicrobialResistance #PublicHealth #GlobalHealth</t>
  </si>
  <si>
    <t>Happy Men's Day . #MensDay #MensDay2025 Gaurav Srivastava Abhimanyuu Nambisan Pranav Godse siddharth sasane Shuja A. Rohan S SALVI Gitesh Srivastava Namith N Mohammad Umair Vivek Singh Rathore Gopal Singh Amrutraj Zade</t>
  </si>
  <si>
    <t>infexn®NGS made a meaningful impact at ACM 2025, bringing advanced infectious disease diagnostics to the forefront. Throughout the event, Dr. Nithin K engaged with clinicians, explaining how next-generation sequencing enables deeper pathogen detection, faster turnaround, and more confident clinical decision-making. By bridging technology with real clinical needs, infexn®NGS continues to support healthcare professionals in delivering precision-driven patient care. Akhil V Rijul Pulikkal Abhimanyuu Nambisan #ACM2025 #NextGenerationSequencing #infexnNGS #ClinicalMicrobiology #InfectiousDiseaseDiagnostics #HealthcareInnovation #PrecisionMedicine #HaystackAnalytics</t>
  </si>
  <si>
    <t>NGS Workshop 2025: Advancing Diagnostic Excellence An insightful, power-packed day where healthcare professionals explored how Next-Generation Sequencing is transforming infectious disease diagnostics. From understanding sample preparation and sequencing workflows to interpreting complex data — the workshop offered a complete 360° view of applying NGS in real clinical practice. The expert-led sessions, interactive discussions, and hands-on learning empowered participants to take meaningful steps toward faster, more precise, and culture-free diagnostics. A heartfelt thank you to our participants — Dr. Karan Indra Ostwal, Dr Anushree K. , Jyoti Dilip Sinol, and Dr. Poulami Biswas — for your enthusiastic involvement and meaningful engagement throughout the workshop. Special thanks to our Scientific Team — Amrutraj Zade Shailesh B. Lad, Ph.D. Rameez M. J. Jagruti Kharat, Samidha Patil, Shreeom Rane and the entire technical group — for leading the knowledge sessions and ensuring scientific excellence throughout the workshop. And a big shoutout to Pranali Dongre Akhil Bhalerao Nilava Banerjee Mahesh Dhule Satyam Mishra Mayank Roy Simran Malik for flawlessly executing the event and making the experience seamless and impactful for every participant. #NGSWorkshop #Genomics #HealthCare #Diagnostics #PublicHealth</t>
  </si>
  <si>
    <t>NGS Innovations Driving the Future of Infectious Disease &amp; Pediatric Genetics At the recent Round Table Meet held at Aster CMI Hospital, Bengaluru, clinicians and medical leaders discussed how advanced Next-Generation Sequencing (NGS) is reshaping patient care. Dr. Shreya Shettar shared an impactful overview of how infexn® NGS is enabling faster, clearer, and more precise diagnosis of infectious diseases—empowering clinicians with actionable insights that improve treatment accuracy. Dr.R D PONMUDI Pharm.D highlighted the critical role of DGx Pediatric Screening and Whole Exome Sequencing in providing early genetic answers, helping clinicians adopt a proactive approach to pediatric healthcare and long-term disease management. This session reinforced our commitment to advancing precision medicine, strengthening clinical decision-making, and bringing high-impact genomics closer to everyday healthcare. 🔬 Transforming diagnostics today. Enabling precision care for tomorrow. Abhimanyuu Nambisan Gitesh Srivastava Namith N Anupama Pradeepkumar Harish Gowda Koushik Koujalagi #HaystackAnalytics #NGS #Genomics #InfectiousDiseases #PediatricHealth #infexn #DGx #ClinicalInsights #HealthcareInnovation #WholeExomeSequencing #MedicalScience</t>
  </si>
  <si>
    <t>The VRE outbreak at Christchurch Hospital highlights a critical reality in clinical settings — colonisation often precedes detection, and multiple strains can emerge before symptoms ever appear. Such events reinforce the need to integrate high-resolution genomic surveillance into routine IPC strategy. Culture-based methods alone may miss asymptomatic carriers and early transmission chains. A culture-free, NGS-based approach — such as infexn™ NGS — can rapidly identify Enterococci species and resistance markers like VanA/VanB within 24 hours, supporting data-driven containment and antimicrobial stewardship. Early detection is no longer early — it’s the most responsible clinical step forward. Abhimanyuu Nambisan Pranav Godse siddharth sasane Rohan S SALVI Shuja A. Gitesh Srivastava Anupama Pradeepkumar Namith N Rijul Pulikkal Raghu Raaj Claire Sherwood RNZ #AntimicrobialResistance #AMRWeek #Genomics #Infectiousdiseases #HealthCare #PublicHealth</t>
  </si>
  <si>
    <t>The Titanic is vanishing — eaten by a deep-sea bacterium. Meet 𝘏𝘢𝘭𝘰𝘮𝘰𝘯𝘢𝘴 𝘵𝘪𝘵𝘢𝘯𝘪𝘤𝘢𝘦 — a salt-loving, iron-feeding microbe thriving in the Atlantic’s icy depths. It forms rusticles that slowly corrode the ship… But researchers see potential: this bacterium could help naturally break down old ships &amp; oil rigs. From wreckage to cleaner oceans. 🌊♻️ 👉 Follow for more microbial marvels! #microbiology #sciencefacts #MicrobialWorld #EnvironmentalBiotech #MarineBiology #NGS #Genomics Abhimanyuu Nambisan Pranav Godse siddharth sasane Shuja A. Rohan S SALVI Mohammad Umair Gitesh Srivastava Anupama Pradeepkumar Namith N Vivek Singh Rathore Rijul Pulikkal Raghu Raaj</t>
  </si>
  <si>
    <t>Understanding disease risk requires looking beyond lifestyle. A significant number of health conditions have a genetic basis, while others are strongly influenced by environment and lifestyle factors and most diseases involve both. Genetic testing empowers individuals and clinicians to: ✔ Identify silent genetic predispositions ✔ Enable early intervention ✔ Guide personalised prevention strategies 👉 At identifi, our genetic insights help individuals make informed health decisions before symptoms appear. Your genes inform. Your choices influence. Abhimanyuu Nambisan Pranav Godse Shuja A. Rohan S SALVI siddharth sasane Mohammad Umair Gitesh Srivastava Rijul Pulikkal Raghu Raaj Anupama Pradeepkumar #GeneticsMadeSimple #HealthAwareness #InheritedVsAcquired #PreventiveHealth #GeneticTesting #Identifi # #EarlyDetection #LifestyleMatters #HealthEducation</t>
  </si>
  <si>
    <t>Familial Hypercholesterolemia (FH) is a heritable disorder where LDL levels stay elevated from birth — often without symptoms. Despite lifestyle efforts, these individuals remain at high cardiovascular risk, especially in their 30s and 40s. Why FH needs early attention: Caused by mutations in LDLR, APOB, or PCSK9 Often undiagnosed until cardiac events occur Early detection enables treatment and family screening Genetic testing helps identify at-risk individuals early, enabling timely intervention and effective risk management. Let’s shift from reactive treatment to proactive prevention. Genetic insights can change outcomes. Abhimanyuu Nambisan Pranav Godse Rohan S SALVI siddharth sasane Mohammad Umair Vivek Singh Rathore Gitesh Srivastava Rijul Pulikkal Dr.R D PONMUDI Pharm.D Koushik Koujalagi #PreventiveDiagnostics #GenomicMedicine #Genetics #Healthcare #PublicHealth #ClinicalGenetics #PrecisionHealth #GeneticTesting #EarlyDetection #PersonalisedMedicine #identifi #HealthcareInnovation</t>
  </si>
  <si>
    <t>CME | Yatharth Hospital, Delhi Transforming infectious disease diagnostics with infexn NGS. An engaging CME at Yatharth Hospital where Dr. Koyel Ghosh walked clinicians through real infection cases, demonstrating how sequencing-based diagnostics bring clarity when conventional methods fall short. The session highlighted how infexn® NGS helps clinicians detect pathogens faster, interpret complex cases, and make confident clinical decisions. Vivek Singh Rathore Mohammad Umair Abhimanyuu Nambisan Dr. Nidhi G. masoom siddiqui Gopal Singh ashish pandey Inder Rawat Sachin Sharma Sayed Yusuf, Kunwar Pal Singh #HealthCare #PublicHealth #Diagnostic #Genomics #infexnNGS #InfectiousDiseases</t>
  </si>
  <si>
    <t>RTM | Madhukar Rainbow Children’s Hospital Exploring the impact of genomics in newborn screening. At Madhukar Rainbow Children’s Hospital, Dr. Yasmeen Kauser shared how genomics is reshaping pediatric healthcare — from identifying inherited genetic risks to guiding timely interventions. She discussed how DGx Pediatric Screening offers a comprehensive look into a newborn’s genetic health, giving clinicians and families the confidence to intervene early and guide proactive care. Vivek Singh Rathore Mohammad Umair Dr. Nidhi G. Gopal Singh masoom siddiqui Inder Rawat #HealthCare #PublicHealth #Diagnostic #Genomics #pediatriccare</t>
  </si>
  <si>
    <t>We’re delighted to welcome Rajarshi Mukherjee as our National Head – Oncology &amp; Rare Diseases. With over 23 years of experience in oncology-focused commercial leadership, Rajarshi has consistently built, scaled, and strengthened high-impact business units across India and neighbouring markets. His expertise spans Business Operations, P&amp;L management, strategic planning, and market expansion, supported by a strong ability to drive KOL engagement and forge meaningful industry partnerships. We’re excited to have his leadership and vision as we continue advancing next-generation diagnostics and delivering greater value to clinicians, partners, and patients. #Announcement #NGS #Genomics #Diagnostics #HealthCare #PublicHealth</t>
  </si>
  <si>
    <t>Advancing precision diagnostics and proactive care with Next-Generation Sequencing. The RTM brought together valuable perspectives from Dr. Shreya Shettar and Dr. R D PONMUDI, exploring how genomic tools are reshaping clinical decision-making. Insights spanned sequencing-based infectious disease solutions such as infexn-NGS, FLU-NGS, and FEVER-NGS, along with broader health and therapy-guiding applications supported by Health Assessment Test and PGx Comprehensive. The session highlighted how these technologies collectively contribute to a more informed, timely, and proactive approach to patient care. Gitesh Srivastava Anupama Pradeepkumar Namith N #HealthCare #PublichHealth #Genomics #InfectiousDiseases #Diagnostics</t>
  </si>
  <si>
    <t>CME | Aggarsain International Hospital Infectious disease diagnostics powered by Next-Generation Sequencing. At Aggarsain International Hospital, Dr. Koyel Ghosh led an insightful CME on the growing role of sequencing in identifying complex and atypical infections. The session highlighted how infexn NGS, FEVER NGS, and FLU-NGS enable clinicians to detect a broad range of pathogens with higher precision — supporting faster diagnosis, clearer clinical decisions, and improved patient outcomes. Mohammad Umair Vivek Singh Rathore Dr. Nidhi G. Inder Rawat masoom siddiqui #HealthCare #PublicHealth #Genomics #Diagnostics #InfectiousDiseases</t>
  </si>
  <si>
    <t>RIPSSCON 2025 | Delhi At RIPSSCON 2025, our Delhi Sales Team connected with clinicians to discuss the growing role of infexn®-NGS in infectious disease management. The conversations highlighted how sequencing brings accuracy, depth, and actionable clarity to complex infection cases empowering better patient care. Vivek Singh Rathore Mohammad Umair Dr. Nidhi G. Inder Rawat masoom siddiqui Gopal Singh #HealthCare #PublicHealth #Diagnostics #Genomics</t>
  </si>
  <si>
    <t>Advancing infectious disease diagnostics with Next-Generation Sequencing. At the Round Table Meet held at SL Raheja Hospital, Dr. Siddhant Shetty shared clinical insights on how infexn® NGS enhances pathogen detection and supports more informed decision-making in complex infectious disease cases. An engaging discussion highlighting the growing role of sequencing in modern clinical practice. Abhimanyuu Nambisan Pranav Godse Shuja A. Rohan S SALVI siddharth sasane #RoundTableMeet #InfectiousDiseases #NextGenerationSequencing #NGS #infexn #ClinicalDiagnostics #HaystackAnalytics #Healthcare #PublicHealth</t>
  </si>
  <si>
    <t>Long QT Syndrome (LQTS) is an inherited cardiac rhythm disorder that affects the heart’s electrical activity, increasing the risk of syncope, seizures, and sudden cardiac arrest — often in individuals with no prior symptoms. Most cases are linked to pathogenic variants in genes such as KCNQ1, KCNH2, and SCN5A, which regulate cardiac ion channels and electrical signaling. Why early genetic detection matters: ✅ Identifies individuals at risk before clinical events occur ✅ Enables timely clinical management ✅ Facilitates cascade screening for family members Genetic testing plays a critical role in shifting care from event-driven response to preventive cardiology. Know your heart’s rhythm. Protect your heart’s future. Abhimanyuu Nambisan Pranav Godse siddharth sasane Rohan S SALVI Shuja A. Mohammad Umair Vivek Singh Rathore Gopal Singh masoom siddiqui Gitesh Srivastava Anupama Pradeepkumar Namith N Rijul Pulikkal Raghu Raaj #LongQTSyndrome #InheritedHeartDisease #GeneticHeartHealth #HeartHealthAwareness #GeneticTesting #PreventiveHealthcare  #EarlyDetection #identifi #PrecisionHealth</t>
  </si>
  <si>
    <t>Advancing Respiratory Pathogen Detection in High-AQI Conditions Rising AQI levels are linked to a surge in respiratory symptoms, often overlapping with infectious presentations and complicating diagnosis—especially in vulnerable populations. During such periods, early and accurate pathogen identification becomes critical to avoid misdiagnosis and delayed treatment. FLU-NGS supports diagnostic confidence in high-AQI settings by enabling comprehensive detection of respiratory pathogens, helping clinicians make informed decisions when conventional methods may be limited. Abhimanyuu Nambisan Pranav Godse siddharth sasane Shuja A. Rohan S SALVI Gitesh Srivastava Anupama Pradeepkumar Namith N Rijul Pulikkal Raghu Raaj Mohammad Umair Vivek Singh Rathore Dr. Nidhi G. masoom siddiqui Gopal Singh #AirQuality #RespiratoryInfections #AQI #Diagnostics #FLUNGS #NGS #InfectiousDiseases #ClinicalMicrobiology #PublicHealth #PrecisionDiagnostics</t>
  </si>
  <si>
    <t>Rewriting the diagnostic playbook in infectious diseases. This RTM, held in association with the Indian Society of Critical Care Medicine (ISCCM), brought together leading voices to discuss how innovation and advanced diagnostics are transforming infectious disease management. With expert insights from Dr Mahua Das Gupta (Kapoor), Dr Noopur Kedare and Dr. Vijay Kulkarni, the discussion highlighted the growing impact of NGS-based advanced diagnostics in improving diagnostic accuracy, addressing complex infections, and enabling more informed clinical decision-making. A collaborative exchange that underscored the role of genomics in shaping the future of infectious disease diagnostics. Abhimanyuu Nambisan Shuja A. Rohan S SALVI siddharth sasane Pranav Godse Gitesh Srivastava Mohammad Umair Vivek Singh Rathore Rijul Pulikkal Raghu Raaj #Healthcare #PublicHealth #Diagnostics #InfectiousDiseases #Genomics</t>
  </si>
  <si>
    <t>Air pollution compromises normal lung defense mechanisms. Impaired clearance, persistent inflammation, and altered immune responses increase vulnerability to respiratory infections and blur clinical presentation. When inflammation and infection overlap, relying on symptoms alone can lead to uncertainty in diagnosis. infexn® NGS supports accurate pathogen identification in complex respiratory cases—enabling informed, evidence-based clinical decisions, even in high-pollution settings. infexn® NGS — enabling diagnostic clarity when respiratory presentations are complex. Abhimanyuu Nambisan Pranav Godse Shuja A. Rohan S SALVI siddharth sasane Mohammad Umair Vivek Singh Rathore Gopal Singh Gitesh Srivastava Anupama Pradeepkumar Namith N Rijul Pulikkal Raghu Raaj Simran Malik Koyel Ghosh #AirPollution #RespiratoryHealth #PulmonaryCare #InfectiousDiseases #ClinicalDiagnostics #MolecularDiagnostics #NGS #PathogenDetection #AntibioticStewardship #infexnNGS #Healthcare #PublicHealth</t>
  </si>
  <si>
    <t>Collaborative Exchange, Shared Insights. The RTM at AIMS Hospital, Thane brought together clinicians for focused discussions on infectious disease diagnostics. Clinical perspectives shared by Dr.Simran Malik highlighted the practical application of infexn® NGS in supporting accurate pathogen detection and informed decision-making. The session fostered meaningful dialogue and collaboration, underscoring the importance of shared insights in advancing modern diagnostic practices. Abhimanyuu Nambisan Pranav Godse Shuja A. Rohan S SALVI siddharth sasane #HealthCare #PublicHealth #Diagnostics #Genomics #InfectiousDiseases</t>
  </si>
  <si>
    <t>Dilated Cardiomyopathy (DCM) is a myocardial disorder characterized by ventricular dilation and impaired systolic function, significantly increasing the risk of heart failure, arrhythmias, and sudden cardiac death. A substantial proportion of DCM cases are genetic in origin, commonly associated with variants in genes such as 𝘛𝘛𝘕, 𝘓𝘔𝘕𝘈, and 𝘋𝘚𝘗. Many individuals remain asymptomatic until advanced stages. Early genetic insight enables a shift from late-stage intervention to preventive cardiology — improving outcomes for patients and families. Abhimanyuu Nambisan Pranav Godse Shuja A. Rohan S SALVI siddharth sasane Gitesh Srivastava Mohammad Umair Vivek Singh Rathore Gopal Singh Rijul Pulikkal Raghu Raaj #Cardiology #Cardiomyopathy #PreventiveDiagnostics #PrecisionMedicine #GenomicMedicine #ClinicalGenetics #CardiovascularHealth #EarlyDetection #HealthcareInnovation #identifi</t>
  </si>
  <si>
    <t>They made the naughty list. We made sure they don’t slip through. This Christmas, safeguard diagnostics with the depth and accuracy of infexn® using NGS. 🎄 🎅 Who’s on the naughty list this year? 🔴 Drug-resistant bacteria 🔴 Flu and flu-like illness–causing viruses 🔴 Hard-to-detect fungal pathogens 💬 Comment with the one you think causes the most diagnostic challenges. infexn® using NGS — catches them all. Abhimanyuu Nambisan Pranav Godse Shuja A. Rohan S SALVI siddharth sasane Gitesh Srivastava Anupama Pradeepkumar Namith N Mohammad Umair Vivek Singh Rathore Gopal Singh Rijul Pulikkal Raghu Raaj #infexn #Christmas #InfectiousDiseases #PathogenDetection #ClinicalMicrobiology#NGS #NextGenerationSequencing #GenomicDiagnostics</t>
  </si>
  <si>
    <t>High AQI is no longer just an environmental concern—it has direct implications for respiratory health and infection dynamics. Particulate exposure alters respiratory immunity across different sites. In the upper respiratory tract, inflammation and impaired mucociliary clearance can mask or mimic viral infections. In the lower respiratory tract, fine particles penetrate deeper, weakening immune defenses and increasing the risk and severity of infections. As pollution-driven inflammation increasingly blurs clinical presentation, site-specific and advanced diagnostics become essential. NGS-based tools like FLU-NGS, optimized for upper respiratory infections, and infexn® NGS, designed for complex lower respiratory infections, help align diagnostics with how respiratory disease truly presents today. Abhimanyuu Nambisan Pranav Godse Rohan S SALVI Shuja A. Gitesh Srivastava Anupama Pradeepkumar Namith N Mohammad Umair Vivek Singh Rathore Gopal Singh masoom siddiqui Aqeeb Momin Rijul Pulikkal Raghu Raaj #HealthCare #PublicHealth #Diagnostics #Genomics #RespiratoryCare #InfectiousDiseases</t>
  </si>
  <si>
    <t>When diagnostics evolve, conversations evolve too. 🧬 At the Round Table Meet , Dr. Simran Malik led an engaging session on advancing infectious disease diagnosis using NGS. The discussion highlighted how NGS can help clinicians move beyond limited panels toward broader, more precise pathogen detection—supporting faster and more confident treatment decisions. Abhimanyuu Nambisan Pranav Godse Rohan S SALVI Shuja A. siddharth sasane #ClinicalGenomics #NGS #InfectiousDiseaseDiagnostics #Healthcare #PublicHealth</t>
  </si>
  <si>
    <t>Scientists exploring human navigation turned to genomics for answers. Their research points to CRY2, a gene involved in regulating our circadian rhythm. Beyond controlling the body’s internal clock, 𝘊𝘙𝘠2 is also expressed in brain regions linked to spatial awareness, memory, and learning. This doesn’t mean there’s a single “navigation gene.” But it highlights an emerging idea: genes involved in biological timing may also interact with cognitive circuits. Swipe through to learn more about the fascinating intersection of genomics and brain function. Abhimanyuu Nambisan Pranav Godse Shuja A. Rohan S SALVI Gitesh Srivastava Mohammad Umair Vivek Singh Rathore Rijul Pulikkal #Genomics #Neurology #Neuroscience #PrecisionHealth #HealthCare #PublicHealth #Genetics</t>
  </si>
  <si>
    <t>When diagnostics evolve, conversations evolve too. 🧬 At the Round Table Meet , Dr. Simran Malik led an engaging session on advancing infectious disease diagnosis using NGS. The discussion highlighted how NGS can help clinicians move beyond limited panels toward broader, more precise pathogen detection—supporting faster and more confident treatment decisions. Abhimanyuu Nambisan Pranav Godse Shuja A. siddharth sasane Rohan S SALVI #HealthCare #PublicHealth #Genomics #InfectiousDiseases #NGS</t>
  </si>
  <si>
    <t>Great to see HaystackAnalytics featured by BEAMSTART. This milestone reflects the growing momentum behind our efforts to advance genomics-driven infectious disease diagnostics and scale next-generation sequencing solutions for real-world clinical impact. As we continue this journey, our focus remains on enabling faster pathogen detection, deeper genomic insights, and better support for clinicians and patients. #InfectiousDiseases #HealthCare #PublicHealth #Genomics #Diagnostics #NGS</t>
  </si>
  <si>
    <t>Advancing conversations on the future of infectious disease diagnostics. At a recent Round Table Meet hosted with clinicians from RPS Hospitals and SPM Hospital, Chennai, Dr. Koushik Koujalagi, PhD shared insights on how next-generation sequencing is transforming pathogen detection and enabling more informed clinical decisions. Through discussions around infexn®NGS, FLU-NGS, and FEVER-NGS, the session highlighted how genomic approaches are supporting faster, more precise infectious disease diagnosis and strengthening clinical management. Abhimanyuu Nambisan Gitesh Srivastava Namith N Anupama Pradeepkumar #NGS #InfectiousDiseases #Genomics #PrecisionDiagnostics #ClinicalInnovation #HaystackAnalytics #MedicalEducation</t>
  </si>
  <si>
    <t>Redefining orthopedic infection diagnosis with genomics 🧬 At Infection Orthocon 2026, our team connected with clinicians to explore how infexn® NGS is transforming the way orthopedic infections are identified—enabling deeper pathogen insights and more confident clinical decision-making. From insightful conversations to real-world clinical discussions, the exchange highlighted the growing impact of NGS in advancing precision-led infection management. Abhimanyuu Nambisan Pranav Godse Dr. Simran Malik siddharth sasane #Orthocon2026 #NGS #OrthopedicInfections #InfectiousDiseaseDiagnostics #GenomicMedicine #PrecisionDiagnostics #ClinicalInnovation</t>
  </si>
  <si>
    <t>Kochi sets the foundation for expanding access to advanced genomic diagnostics. With the Genomic Centre of Excellence now established at ACTIMoS- Advanced Center for Transplant Immunology &amp; Molecular Science, clinicians and patients in the region can benefit from faster, more precise infectious disease detection enabled by NGS technology. A step closer to making precision diagnostics more accessible where it matters most. Rijul Pulikkal Nithin K Abhimanyuu Nambisan Akhil V Gitesh Srivastava #Genomics #NGS #PrecisionMedicine #InfectiousDiseases #Diagnostics #HealthcareInnovation #MedTech #MolecularDiagnostics #PublicHealth #IndiaHealthcare</t>
  </si>
  <si>
    <t>Respiratory diseases continue to pose a serious challenge across India. While COVID-19 changed the world overnight, Tuberculosis has been a silent, persistent threat for decades. The real question is — which is the bigger threat today? 👍 Like if you think COVID-19 💬 Comment if you think TB Because the biggest risk is the one we underestimate. Abhimanyuu Nambisan Rohan S SALVI Pranav Godse Shuja A. Rohan S SALVI siddharth sasane Gitesh Srivastava Namith N Vivek Singh Rathore Dr. Nidhi G. Amrutraj Zade Shailesh B. Lad, Ph.D. Dr. Simran Malik Dr Koyel Ghosh #RespiratoryHealth #PublicHealth #InfectiousDiseases #COVID19 #Tuberculosis #TBawareness #HealthcareIndia #DiseaseAwareness #GlobalHealth #Diagnostics #Microbiology #HealthcareInnovation</t>
  </si>
  <si>
    <t>Beyond the limits of culture and panels, fungal detection is evolving. Join us at MYCOCON 2026 and experience how infexn®–NGS is transforming the way fungal infections are identified—faster, deeper, and more precise. Stall No: 01 27th–29th March 2026 Hotel Radisson Red, Chandigarh, Mohali Let’s redefine fungal diagnostics together. Abhimanyuu Nambisan Pranav Godse Rohan S SALVI siddharth sasane Shuja A. Gitesh Srivastava Anupama Pradeepkumar Namith N Vivek Singh Rathore Dr. Nidhi G. Inder Rawat Dr. Simran Malik Dr Koyel Ghosh #MYCOCON2026 #FungalDiagnostics #NGS #Microbiology #InfectiousDiseases #Genomics #infexn #HaystackAnalytics #FutureOfDiagnostics #MedicalInnovation</t>
  </si>
  <si>
    <t>What happens when a pathogen is present… but the test doesn’t see it? Emerging fungal infections are pushing the limits of traditional diagnostics — making early and accurate detection more important than ever. We’re bringing this conversation to MYCOCON 2026. 📍 Stall 01 | 27–29 March 📍Radisson Red, Chandigarh Come explore what’s next in fungal pathogen detection. Abhimanyuu Nambisan Pranav Godse Rohan S SALVI Shuja A. siddharth sasane Gitesh Srivastava Rijul Pulikkal Vivek Singh Rathore Dr Koyel Ghosh Dr. Simran Malik Pranali Dongre #MYCOCON2026 #FungalDiagnostics #ClinicalMicrobiology #Mycology #NGS #HaystackAnalytics</t>
  </si>
  <si>
    <t>What happens when one infection creates the perfect conditions for another? Researchers found that tuberculosis doesn’t just impact the lungs it reshapes the immune environment, creating conditions where 𝘊𝘳𝘺𝘱𝘵𝘰𝘤𝘰𝘤𝘤𝘶𝘴 𝘯𝘦𝘰𝘧𝘰𝘳𝘮𝘢𝘯𝘴 can thrive. By simulating a co-infected setting, the study reveals how one pathogen can amplify the impact of another. So here’s the real question, are we looking at infections one by one, when they rarely exist that way? Abhimanyuu Nambisan Pranav Godse Rohan S SALVI Shuja A. siddharth sasane Gitesh Srivastava Anupama Pradeepkumar Namith N Vivek Singh Rathore Rijul Pulikkal Raghu Raaj Dr Koyel Ghosh Dr. Simran Malik #InfectiousDiseases #TB #FungalPathogens #CoInfection #ResearchInsights #AMR</t>
  </si>
  <si>
    <t>𝘈𝘴𝘱𝘦𝘳𝘨𝘪𝘭𝘭𝘶𝘴 𝘧𝘶𝘮𝘪𝘨𝘢𝘵𝘶𝘴 remains one of the most important fungal pathogens causing invasive aspergillosis, particularly in immunocompromised patients. Yet fungal detection can be challenging when conventional methods have limitations. With infexn NGS, clinicians can access culture-free, pan-fungal detection that expands diagnostic possibilities. 📍 Meet the team at MYCOCON 2026 27–29 March | Radisson Red, Chandigarh, Mohali Visit our stall 01 to learn more about next-generation fungal diagnostics. Abhimanyuu Nambisan Pranav Godse Rohan S SALVI Shuja A. siddharth sasane Gitesh Srivastava Rijul Pulikkal Namith N Raghu Raaj Dr Koyel Ghosh Dr. Simran Malik Pranali Dongre #Fungi #FungalInfections #Mycology #HealthCare #PublicHealth #Diagnostics #NGS #Genomics</t>
  </si>
  <si>
    <t>Nagpur, we’re here. 📍 Introducing Nagpur's first Genomic Centre of Excellence at Swift Diagnostics, bringing advanced infection diagnostics closer to clinicians in the region. From faster answers to deeper insights, this is a step toward redefining how infections are understood and managed. 🧬 One more city, one step closer to accessible genomic diagnostics for all. Abhimanyuu Nambisan Rohan S SALVI Shuja A. Pranav Godse siddharth sasane Gitesh Srivastava Vivek Singh Rathore Rijul Pulikkal Raghu Raaj #HealthCare #PublicHealth #InfectiousDiseases #Diagnostics #Genomics #NGS</t>
  </si>
  <si>
    <t>Chennai, we’ve gone live. 📍 Advanced genomic infection diagnostics are now enabled at Adyar Cancer Institute, bringing new depth and precision into a legacy of clinical excellence. More accurate diagnoses. Clearer insights. Better-informed decisions. 🧬 A meaningful step forward for the region and one more move toward making genomic diagnostics more accessible where it matters most. More to come. 🚀 Abhimanyuu Nambisan Gitesh Srivastava Namith N Anupama Pradeepkumar Rohan S SALVI Shuja A. Pranav Godse siddharth sasane Vivek Singh Rathore Inder Rawat Rijul Pulikkal Raghu Raaj #HealthCare #PublicHealth #Diagnostics #Genomics #InfectiousDiseases #NGS</t>
  </si>
  <si>
    <t>Enhancing infectious disease diagnosis with NGS 🧬 Dr Koyel Ghosh shared valuable insights on how advanced genomic approaches are enabling precise pathogen detection—supporting faster, more informed clinical decision-making in infectious disease care. Through meaningful discussion and clinical perspective, the session highlighted the growing role of NGS in driving precision-led diagnostics and improving patient outcomes. Abhimanyuu Nambisan Vivek Singh Rathore Dr. Nidhi G. Inder Rawat #NGS #InfectiousDiseaseDiagnostics #GenomicMedicine #PrecisionDiagnostics #ClinicalInnovation</t>
  </si>
  <si>
    <t>Bringing real-world clinical insights into infectious disease diagnostics 🧬 At the RTM with Kolhapur Pediatric Association, experts came together to explore the evolving role of NGS in infectious diseases through insightful case-based discussions. Dr. Rupali Patil highlighted the importance of accurate, timely diagnosis in improving patient care, while Dr Vijay Kulkarni shared perspectives on how NGS is shaping clinical decision-making through real-world applications. A session driven by collaboration, clinical learning, and the growing impact of genomics in modern diagnostics. Abhimanyuu Nambisan Rohan S SALVI Shailaja Patil Vijay Kumar #RTM #NGS #InfectiousDiseaseDiagnostics #ClinicalLearning #GenomicMedicine</t>
  </si>
  <si>
    <t>What if microbes could travel between planets? 🚀🧬 Scientists recently explored whether certain microbes could survive the extreme pressures created during asteroid impacts — the same kind of events that can eject rocks from one planet into space. The results open up a fascinating possibility: Could life move through space… hidden inside rocks? 🌌 Swipe to explore the science behind this intriguing idea. Abhimanyuu Nambisan Rohan S SALVI Pranav Godse Shuja A. siddharth sasane Gitesh Srivastava Vivek Singh Rathore Rijul Pulikkal Raghu Raaj Shailaja Patil Vijay Kumar #Microbiology #Astrobiology #SpaceScience #DidYouKnow #MicrobialWorld #LifeBeyondEarth #NGS #InfectiousDiseases #infexnNGS #HaystackAnalytics</t>
  </si>
  <si>
    <t>We're coming soon to Tamil Nadu. 📍 Introducing advanced infection detection with infexn-NGS, now partnering with Rao’s Pathlab to bring next-generation diagnostics closer to the region. From precise answers to actionable insights, this marks a shift toward smarter, more informed infection care in Tamil Nadu. 🧬 A new city on the map, moving us closer to making genomic diagnostics truly accessible, everywhere. Stay tuned for more updates. vidya poornam Abhimanyuu Nambisan Inder Rawat Pranav Godse Rohan S SALVI Raghu Raaj Gitesh Srivastava Vivek Singh Rathore Rijul Pulikkal siddharth sasane #GenomicSequencing #NGS #InfectiousDiseaseDiagnostics #PrecisionDiagnostics #TamilNaduHealthcare #SouthIndiaHealthcare #HealthcareExpansion #AdvancedDiagnostics #MedTechIndia #AccessibleHealthcareIndia</t>
  </si>
  <si>
    <t>Some pathogens are masters of disguise. Good thing not all tests are easy to fool. 🦠 #AprilFools #PathogenDetection #NGS #Healthcare #Publichealth #Infectiousdiseases #Genomics Gaurav Srivastava Abhimanyuu Nambisan Pranav Godse siddharth sasane Shuja A. Rohan S SALVI Gitesh Srivastava Namith N Anupama Pradeepkumar Vivek Singh Rathore Rijul Pulikkal Raghu Raaj Dr. Simran Malik Dr Koyel Ghosh</t>
  </si>
  <si>
    <t>What happens when bacteria face increasing antibiotic pressure? Most die. Some mutate. A few survive — and change everything. This MEGA-plate experiment captured antibiotic resistance evolving in real time. Because in the microbial world, adaptation is survival. Abhimanyuu Nambisan Pranav Godse Rohan S SALVI Shuja A. siddharth sasane Gitesh Srivastava Vivek Singh Rathore Rijul Pulikkal Raghu Raaj #AMR #MicrobialEvolution #Genomics #InfectiousDisease #PrecisionDiagnostics #infexn #AntimicrobialResistance #Infectiousdiseases</t>
  </si>
  <si>
    <t>On World TB Day, we stepped out to ask a simple question: What do people really think is the bigger threat in India? The answers reflected a common perception. But the reality tells a different story. While the world’s attention shifted rapidly during the pandemic, tuberculosis continued to impact lives across the country—quietly and persistently. At HaystackAnalytics, we believe addressing TB at scale requires faster and more advanced diagnostics. Our goal is to make NGS-based solutions accessible across the country, enabling better detection and stronger clinical decisions. Because meaningful change happens when innovation reaches those who need it most. As we reflect on World TB Day, we continue working towards a TB मुक्त भारत In support of the national mission led by Hon’ble PM Narendra Modi and the continued efforts of NTEP, India to eliminate tuberculosis, we remain committed to contributing towards the vision of a TB मुक्त भारत. NITI Aayog NITI Aayog Official World Health Organization Piyush Goyal Gaurav Srivastava Anirvan Chatterjee Dr Mahua Das Gupta (Kapoor) Abhimanyuu Nambisan Pranav Godse Rohan S SALVI Shuja A. Shailesh B. Lad, Ph.D. siddharth sasane Gitesh Srivastava Anupama Pradeepkumar Namith N Vivek Singh Rathore Inder Rawat Rijul Pulikkal Raghu Raaj Amrutraj Zade Ranjan K. Dr. Simran Malik Dr Koyel Ghosh Simone Jetha Pranali Dongre Tejal Sonawane Akshar Developers Niraj Dhere #WorldTBDay #EndTB #TBMuktBharat #NGS #Diagnostics #PublicHealth #HaystackAnalytics</t>
  </si>
  <si>
    <t>6.3
%</t>
  </si>
  <si>
    <t>We’ve long believed blood compatibility is determined by ABO and Rh types. But what if that’s only part of the story? Beneath these familiar labels lies a complex network of blood group genes influencing antigen expression and immune responses. As genomics advances, transfusion medicine is beginning to look beyond surface-level typing to understand compatibility at a deeper level. Abhimanyuu Nambisan Pranav Godse Rohan S SALVI Shuja A. siddharth sasane Gitesh Srivastava Vivek Singh Rathore Namith N Rijul Pulikkal Raghu Raaj #Genomics #TransfusionMedicine #BloodGroups #PrecisionMedicine #NGS #HumanGenetics</t>
  </si>
  <si>
    <t>Expanding the reach of genomic diagnostics. 🧬 infexn®NGS is now live at Rao’s Pathlab, marking the launch of another Genomic Center of Excellence. Together, we aim to advance precision diagnostics and enable clinicians with deeper genomic insights for better patient care. Another step forward in bringing genomics closer to clinical practice. Raos path lab Soundravallirao vidya poornam Abhimanyuu Nambisan Gitesh Srivastava Namith N Anupama Pradeepkumar Raghu Raaj Rijul Pulikkal Pranav Godse Rohan S SALVI Shuja A. siddharth sasane Vivek Singh Rathore Inder Rawat #Genomics #NGS #PrecisionMedicine #Diagnostics #GenomicMedicine #infexn</t>
  </si>
  <si>
    <t>Advancing the Future of Fungal Diagnostics MYCOCON brought together clinicians, microbiologists, and researchers committed to addressing the growing challenges of fungal infections and their diagnosis. From insightful scientific sessions and engaging discussions at the infexn® stall, to meaningful interactions with KOLs and moments shared with the community — the event created a valuable space to exchange ideas on the growing scope of NGS-based diagnostics in improving pathogen detection and advancing infectious disease diagnostics. Swipe through for a glimpse of our highlights from MYCOCON. Gaurav Srivastava Dr Mahua Das Gupta (Kapoor) Abhimanyuu Nambisan Rohan S SALVI Dr. Simran Malik Pranali Dongre Inder Rawat Vivek Singh Rathore Simone Jetha Gitesh Srivastava Raghu Raaj #MYCOCON #MedicalMycology #FungalDiagnostics #FungalInfections #Microbiology #InfectiousDiseases #NGS #infexn</t>
  </si>
  <si>
    <t>The Infection Book made its debut at MYCOCON 2026, sparking engaging conversations with experts across the mycology and infectious disease community. Throughout the event, it became part of meaningful exchanges with clinicians and researchers, including Dr.David Denning, Dr. Arunaloke Chakrabarti, Dr. Subhash Kumar Todi, Dr.Sanjay Bhattacharya MBBS MD DNB FRCPath CCT (UK), —discussing the evolving landscape of pathogen diagnostics, infectious diseases, and the growing role of advanced technologies like NGS in clinical decision-making. It was a privilege to share perspectives with experts who are actively shaping the future of infectious disease diagnostics. Swipe through to see some of the moments from the event. Abhimanyuu Nambisan Rohan S SALVI Pranav Godse Shuja A. siddharth sasane Gitesh Srivastava Inder Rawat Dr. Simran Malik Simone Jetha Dr Mahua Das Gupta (Kapoor) #MYCOCON #MedicalMycology #InfectiousDiseases #Microbiology #NGS #Diagnostics #infexn</t>
  </si>
  <si>
    <t>Antimicrobial resistance (AMR) is rapidly transforming how we approach infectious disease diagnostics and treatment. But are we leveraging these insights effectively? Join us for our upcoming webinar, “Bug-to-Drug: Translating Mechanisms of Antimicrobial Resistance to Diagnostic and Therapeutic Innovation,” where we explore how understanding resistance at a mechanistic level can drive smarter diagnostics and more targeted therapies. Speaker: Dr.Ayesha Khan, Associate Director of Clinical Microbiology, UC Irvine Health Moderator: Dr Mahua Das Gupta (Kapoor), Director, Medical Affairs (Infectious Diseases), HaystackAnalytics Date: 16th April 2026 Time: 5:00 PM (IST) Be part of the conversation shaping the future of infectious disease diagnostics. Register now to secure your spot #infexnNGS #Webinar #AMR #InfectiousDiseases #Diagnostics #NGS #HealthcareInnovation</t>
  </si>
  <si>
    <t>Bringing genomics to the frontline of care. 🧬 infexn®-NGS is now live at Microcare Diagnostic Lab, Chhatrapati Sambhajinagar. This marks the launch of a new Genomic Centre of Excellence, enabling faster, more precise infection detection and equipping clinicians with deeper, data-driven insights. From uncertainty to clarity, we’re helping shift the way infections are diagnosed and managed. One more step toward making advanced genomic diagnostics accessible. Abhimanyuu Nambisan Rohan S SALVI Pranav Godse Shuja A. Inder Rawat Gitesh Srivastava Vivek Singh Rathore Rijul Pulikkal Shailaja Patil Dr. Simran Malik Dr Koyel Ghosh #HealthCare #PublicHealth #Diagnostics #Genomics #InfectiousDiseases</t>
  </si>
  <si>
    <t>Advancing prenatal and postnatal care through the power of genomics. At Fetal Medicine Update 2026, Dr.Yasmeen Kauser shared valuable insights on how genomic approaches are enabling early detection and empowering more informed, data-driven clinical decisions—driving better outcomes for both mother and child. Through meaningful engagement led by our sales team with healthcare professionals, the focus remains on translating advanced genomic solutions into real-world clinical impact—where science meets better care. Abhimanyuu Nambisan Shalabh Saxena Shashank Singh #Genomics #PrenatalCare #PostnatalCare #NIPT #PrecisionMedicine</t>
  </si>
  <si>
    <t>Advancing prenatal and postnatal care through the power of genomics. At the CME at Indira IVF, Delhi, Dr.Yasmeen Kauser shared valuable insights on integrating genomic approaches into clinical practice—driving early detection and enabling more informed decision-making in maternal–fetal care. Alongside, our sales team played a key role in fostering meaningful engagement—building strong clinical connections and translating these insights into impactful, real-world conversations. Abhimanyuu Nambisan Inder Rawat Vivek Singh Rathore Shalabh Saxena Shashank Singh #CME #Genomics #PrenatalCare #PostnatalCare #PrecisionMedicine</t>
  </si>
  <si>
    <t>Advancing diagnostics across infectious diseases and human genomics through meaningful clinical exchange. 🧬 At the RTM at Chirag Hospital, Bangalore, Dr. Shreya Shettar highlighted how NGS is enabling precise pathogen detection and supporting timely, informed decisions in infectious disease management. Complementing this, Dr.R D PONMUDI Pharm.D shared insights on WES and PGx Comprehensive , emphasizing deeper genetic insights and a more personalized approach to patient care. Together, these discussions reflect a shift toward precision-driven, proactive healthcare powered by genomics. Abhimanyuu Nambisan Gitesh Srivastava Namith N Anupama Pradeepkumar #RTM #NGS #HumanGenomics #Diagnostics #HealthcareInnovation #HealthCare #PublicHealth</t>
  </si>
  <si>
    <t>Elevating infectious disease diagnostics through NGS 🧬 At the RTM held at Snowbell Multispeciality Hospital, Pune, Dr. Simran Malik led an insightful session on how NGS is transforming infectious disease diagnosis—enabling precise pathogen detection and faster, more informed clinical decisions. Through meaningful discussions and real-world clinical perspectives, the session highlighted the growing impact of genomics in advancing patient care. Abhimanyuu Nambisan Rohan S SALVI Pranav Godse Shailaja Patil #RTM #NGS #InfectiousDiseaseDiagnostics #GenomicMedicine #PrecisionDiagnostics</t>
  </si>
  <si>
    <t>From vision to reality—NGS at the point of care 🧬 At CAHOCON 2026, we had the opportunity to engage with industry leaders, including Dr. A. Velumani PhD. , exchanging perspectives on advancing genomic diagnostics and improving accessibility in real-world clinical settings. The collaboration continued with meaningful conversations alongside industry leaders driving the next wave of diagnostic innovation and strengthening the impact of advanced diagnostics in everyday practice. Gaurav Srivastava Manoj Monga Abhimanyuu Nambisan Rohan S SALVI Shuja A. Pranav Godse siddharth sasane Gitesh Srivastava Inder Rawat Rijul Pulikkal Raghu Raaj Dr. Velumani Office - VMO #CAHOCON2026 #NGS #GenomicDiagnostics #HealthcareInnovation #PrecisionDiagnostics</t>
  </si>
  <si>
    <t>Transforming infectious disease diagnostics through Next-Generation Sequencing (NGS) 🧬 At the Chhattisgarh Association of Medical Microbiology 2026, Dr Mahua Das Gupta (Kapoor) shared valuable insights on the evolving role of NGS in infectious diseases—highlighting how it enables improved pathogen detection and more informed clinical decision-making. A step forward in integrating advanced diagnostics into everyday clinical practice. Abhimanyuu Nambisan Rohan S SALVI Shuja A. Pranav Godse siddharth sasane Gitesh Srivastava Inder Rawat Vivek Singh Rathore Rijul Pulikkal Raghu Raaj #Metagenomics #InfectiousDiseaseDiagnostics #ClinicalMicrobiology #GenomicMedicine #PrecisionDiagnostics #HealthCare #PublicHealth</t>
  </si>
  <si>
    <t>What looks like survival… might actually be borrowed biology. In a controlled experiment, one rotifer species was destroyed by infection, while another shut down, then reactivated and resumed activity. The difference wasn’t chance. Some organisms can integrate bacterial genes into their own genome, using them to produce antimicrobial compounds and survive infection. What microbes use to compete… can become a defense in another system. Abhimanyuu Nambisan Pranav Godse Shuja A. siddharth sasane siddharth sasane Gitesh Srivastava Anupama Pradeepkumar Namith N Vivek Singh Rathore Rijul Pulikkal Rohan S SALVI #AntibioticResistance #AMR #Microbiology #InfectionBiology #ScienceCommunication #Genetics #HorizontalGeneTransfer</t>
  </si>
  <si>
    <t>Your cholesterol levels looked normal. That should have been enough—right? But cardiovascular risk doesn’t always align with what routine tests capture. Lp(a) is a genetically determined risk factor that often goes unmeasured, yet is strongly associated with conditions such as coronary artery disease and stroke. Even when standard lipid profiles appear normal, underlying genetic predispositions may still exist. This is where advanced genomic approaches, such as Whole Exome Sequencing (WES), can provide deeper insights—helping identify inherited risk factors, enable early risk stratification, and support more informed clinical decision-making. Because understanding risk today requires looking beyond conventional markers—into the genome itself. 🧬 Abhimanyuu Nambisan Rohan S SALVI Shuja A. siddharth sasane Pranav Godse Gitesh Srivastava Anupama Pradeepkumar Namith N Vivek Singh Rathore Rijul Pulikkal Raghu Raaj #HeartHealth #Lpa #GeneticRisk #PreventiveCardiology #GenomicMedicine #PrecisionDiagnostics #HealthCare #PublicHealth</t>
  </si>
  <si>
    <t>Do infectious disease diagnostics need revamping? Join us for an insightful discussion on how infectious disease diagnostics are evolving—and how emerging technologies like NGS are enabling faster, more precise detection. Speaker: DR ABDUL GHAFUR, Senior Consultant &amp; Adjunct Professor, Infectious Diseases, Apollo Hospitals, Chennai Moderator: Dr Mahua Das Gupta (Kapoor), Director, Medical Affairs – Infectious Diseases, HaystackAnalytics Date: 20th April 2026 | Time: 6:00 PM IST Explore current challenges, key innovations, and what the future holds for pathogen detection. Register now and be part of the conversation.</t>
  </si>
  <si>
    <t>Date</t>
  </si>
  <si>
    <t>Likes</t>
  </si>
  <si>
    <t>Saves</t>
  </si>
  <si>
    <t>Views</t>
  </si>
  <si>
    <t>Reach</t>
  </si>
  <si>
    <t>Engagement</t>
  </si>
  <si>
    <t>Engag %</t>
  </si>
  <si>
    <r>
      <t>identifi.health</t>
    </r>
    <r>
      <rPr>
        <b/>
        <u/>
        <sz val="11"/>
        <color rgb="FF1155CC"/>
        <rFont val="Arial"/>
        <scheme val="minor"/>
      </rPr>
      <t>Jan 26, 04:43</t>
    </r>
  </si>
  <si>
    <t>0
%</t>
  </si>
  <si>
    <r>
      <t xml:space="preserve">identifi.health
</t>
    </r>
    <r>
      <rPr>
        <u/>
        <sz val="11"/>
        <color rgb="FF1155CC"/>
        <rFont val="Arial"/>
        <scheme val="minor"/>
      </rPr>
      <t>Jan 29, 12:11</t>
    </r>
  </si>
  <si>
    <t>7.02
%</t>
  </si>
  <si>
    <r>
      <t xml:space="preserve">identifi.health
</t>
    </r>
    <r>
      <rPr>
        <u/>
        <sz val="11"/>
        <color rgb="FF1155CC"/>
        <rFont val="Arial"/>
        <scheme val="minor"/>
      </rPr>
      <t>Jan 29, 12:13</t>
    </r>
  </si>
  <si>
    <r>
      <t xml:space="preserve">identifi.health
</t>
    </r>
    <r>
      <rPr>
        <u/>
        <sz val="11"/>
        <color rgb="FF1155CC"/>
        <rFont val="Arial"/>
        <scheme val="minor"/>
      </rPr>
      <t>Feb 04, 11:31</t>
    </r>
  </si>
  <si>
    <r>
      <t xml:space="preserve">identifi.health
</t>
    </r>
    <r>
      <rPr>
        <u/>
        <sz val="11"/>
        <color rgb="FF1155CC"/>
        <rFont val="Arial"/>
        <scheme val="minor"/>
      </rPr>
      <t>Feb 04, 11:32</t>
    </r>
  </si>
  <si>
    <r>
      <t xml:space="preserve">identifi.health
</t>
    </r>
    <r>
      <rPr>
        <u/>
        <sz val="11"/>
        <color rgb="FF1155CC"/>
        <rFont val="Arial"/>
        <scheme val="minor"/>
      </rPr>
      <t>Feb 04, 12:38</t>
    </r>
  </si>
  <si>
    <r>
      <t xml:space="preserve">identifi.health
</t>
    </r>
    <r>
      <rPr>
        <u/>
        <sz val="11"/>
        <color rgb="FF1155CC"/>
        <rFont val="Arial"/>
        <scheme val="minor"/>
      </rPr>
      <t>Feb 07, 14:05</t>
    </r>
  </si>
  <si>
    <t>4.08
%</t>
  </si>
  <si>
    <r>
      <t xml:space="preserve">identifi.health
</t>
    </r>
    <r>
      <rPr>
        <u/>
        <sz val="11"/>
        <color rgb="FF1155CC"/>
        <rFont val="Arial"/>
        <scheme val="minor"/>
      </rPr>
      <t>Feb 11, 07:40</t>
    </r>
  </si>
  <si>
    <t>10.71
%</t>
  </si>
  <si>
    <r>
      <t xml:space="preserve">identifi.health
</t>
    </r>
    <r>
      <rPr>
        <u/>
        <sz val="11"/>
        <color rgb="FF1155CC"/>
        <rFont val="Arial"/>
        <scheme val="minor"/>
      </rPr>
      <t>Feb 14, 06:47</t>
    </r>
  </si>
  <si>
    <r>
      <t xml:space="preserve">identifi.health
</t>
    </r>
    <r>
      <rPr>
        <u/>
        <sz val="11"/>
        <color rgb="FF1155CC"/>
        <rFont val="Arial"/>
        <scheme val="minor"/>
      </rPr>
      <t>Feb 14, 06:57</t>
    </r>
  </si>
  <si>
    <r>
      <t xml:space="preserve">identifi.health
</t>
    </r>
    <r>
      <rPr>
        <u/>
        <sz val="11"/>
        <color rgb="FF1155CC"/>
        <rFont val="Arial"/>
        <scheme val="minor"/>
      </rPr>
      <t>Feb 14, 11:22</t>
    </r>
  </si>
  <si>
    <r>
      <t xml:space="preserve">identifi.health
</t>
    </r>
    <r>
      <rPr>
        <u/>
        <sz val="11"/>
        <color rgb="FF1155CC"/>
        <rFont val="Arial"/>
        <scheme val="minor"/>
      </rPr>
      <t>Feb 18, 13:48</t>
    </r>
  </si>
  <si>
    <t>12.24
%</t>
  </si>
  <si>
    <r>
      <t xml:space="preserve">identifi.health
</t>
    </r>
    <r>
      <rPr>
        <u/>
        <sz val="11"/>
        <color rgb="FF1155CC"/>
        <rFont val="Arial"/>
        <scheme val="minor"/>
      </rPr>
      <t>Feb 28, 06:36</t>
    </r>
  </si>
  <si>
    <t>8.65
%</t>
  </si>
  <si>
    <r>
      <t xml:space="preserve">identifi.health
</t>
    </r>
    <r>
      <rPr>
        <u/>
        <sz val="11"/>
        <color rgb="FF1155CC"/>
        <rFont val="Arial"/>
        <scheme val="minor"/>
      </rPr>
      <t>Mar 03, 04:31</t>
    </r>
  </si>
  <si>
    <r>
      <t xml:space="preserve">identifi.health
</t>
    </r>
    <r>
      <rPr>
        <u/>
        <sz val="11"/>
        <color rgb="FF1155CC"/>
        <rFont val="Arial"/>
        <scheme val="minor"/>
      </rPr>
      <t>Mar 04, 05:49</t>
    </r>
  </si>
  <si>
    <t>10.89
%</t>
  </si>
  <si>
    <r>
      <t xml:space="preserve">identifi.health
</t>
    </r>
    <r>
      <rPr>
        <u/>
        <sz val="11"/>
        <color rgb="FF1155CC"/>
        <rFont val="Arial"/>
        <scheme val="minor"/>
      </rPr>
      <t>Mar 04, 14:18</t>
    </r>
  </si>
  <si>
    <t>27.5
%</t>
  </si>
  <si>
    <r>
      <t xml:space="preserve">identifi.health
</t>
    </r>
    <r>
      <rPr>
        <u/>
        <sz val="11"/>
        <color rgb="FF1155CC"/>
        <rFont val="Arial"/>
        <scheme val="minor"/>
      </rPr>
      <t>Mar 07, 16:35</t>
    </r>
  </si>
  <si>
    <r>
      <t>identifi.health</t>
    </r>
    <r>
      <rPr>
        <b/>
        <u/>
        <sz val="11"/>
        <color rgb="FF1155CC"/>
        <rFont val="Arial"/>
        <scheme val="minor"/>
      </rPr>
      <t>Jan 26, 04:43</t>
    </r>
  </si>
  <si>
    <r>
      <t xml:space="preserve">identifi.health
</t>
    </r>
    <r>
      <rPr>
        <u/>
        <sz val="11"/>
        <color rgb="FF1155CC"/>
        <rFont val="Arial"/>
        <scheme val="minor"/>
      </rPr>
      <t>Jan 29, 12:11</t>
    </r>
  </si>
  <si>
    <r>
      <t xml:space="preserve">identifi.health
</t>
    </r>
    <r>
      <rPr>
        <u/>
        <sz val="11"/>
        <color rgb="FF1155CC"/>
        <rFont val="Arial"/>
        <scheme val="minor"/>
      </rPr>
      <t>Jan 29, 12:13</t>
    </r>
  </si>
  <si>
    <r>
      <t xml:space="preserve">identifi.health
</t>
    </r>
    <r>
      <rPr>
        <u/>
        <sz val="11"/>
        <color rgb="FF1155CC"/>
        <rFont val="Arial"/>
        <scheme val="minor"/>
      </rPr>
      <t>Feb 04, 11:31</t>
    </r>
  </si>
  <si>
    <r>
      <t xml:space="preserve">identifi.health
</t>
    </r>
    <r>
      <rPr>
        <u/>
        <sz val="11"/>
        <color rgb="FF1155CC"/>
        <rFont val="Arial"/>
        <scheme val="minor"/>
      </rPr>
      <t>Feb 04, 11:32</t>
    </r>
  </si>
  <si>
    <r>
      <t xml:space="preserve">identifi.health
</t>
    </r>
    <r>
      <rPr>
        <u/>
        <sz val="11"/>
        <color rgb="FF1155CC"/>
        <rFont val="Arial"/>
        <scheme val="minor"/>
      </rPr>
      <t>Feb 04, 12:38</t>
    </r>
  </si>
  <si>
    <r>
      <t xml:space="preserve">identifi.health
</t>
    </r>
    <r>
      <rPr>
        <u/>
        <sz val="11"/>
        <color rgb="FF1155CC"/>
        <rFont val="Arial"/>
        <scheme val="minor"/>
      </rPr>
      <t>Feb 07, 14:05</t>
    </r>
  </si>
  <si>
    <r>
      <t xml:space="preserve">identifi.health
</t>
    </r>
    <r>
      <rPr>
        <u/>
        <sz val="11"/>
        <color rgb="FF1155CC"/>
        <rFont val="Arial"/>
        <scheme val="minor"/>
      </rPr>
      <t>Feb 11, 07:40</t>
    </r>
  </si>
  <si>
    <r>
      <t xml:space="preserve">identifi.health
</t>
    </r>
    <r>
      <rPr>
        <u/>
        <sz val="11"/>
        <color rgb="FF1155CC"/>
        <rFont val="Arial"/>
        <scheme val="minor"/>
      </rPr>
      <t>Feb 14, 06:47</t>
    </r>
  </si>
  <si>
    <r>
      <t xml:space="preserve">identifi.health
</t>
    </r>
    <r>
      <rPr>
        <u/>
        <sz val="11"/>
        <color rgb="FF1155CC"/>
        <rFont val="Arial"/>
        <scheme val="minor"/>
      </rPr>
      <t>Feb 14, 06:57</t>
    </r>
  </si>
  <si>
    <r>
      <t xml:space="preserve">identifi.health
</t>
    </r>
    <r>
      <rPr>
        <u/>
        <sz val="11"/>
        <color rgb="FF1155CC"/>
        <rFont val="Arial"/>
        <scheme val="minor"/>
      </rPr>
      <t>Feb 14, 11:22</t>
    </r>
  </si>
  <si>
    <r>
      <t xml:space="preserve">identifi.health
</t>
    </r>
    <r>
      <rPr>
        <u/>
        <sz val="11"/>
        <color rgb="FF1155CC"/>
        <rFont val="Arial"/>
        <scheme val="minor"/>
      </rPr>
      <t>Feb 18, 13:48</t>
    </r>
  </si>
  <si>
    <r>
      <t xml:space="preserve">identifi.health
</t>
    </r>
    <r>
      <rPr>
        <u/>
        <sz val="11"/>
        <color rgb="FF1155CC"/>
        <rFont val="Arial"/>
        <scheme val="minor"/>
      </rPr>
      <t>Feb 28, 06:36</t>
    </r>
  </si>
  <si>
    <r>
      <t xml:space="preserve">identifi.health
</t>
    </r>
    <r>
      <rPr>
        <u/>
        <sz val="11"/>
        <color rgb="FF1155CC"/>
        <rFont val="Arial"/>
        <scheme val="minor"/>
      </rPr>
      <t>Mar 03, 04:31</t>
    </r>
  </si>
  <si>
    <r>
      <t xml:space="preserve">identifi.health
</t>
    </r>
    <r>
      <rPr>
        <u/>
        <sz val="11"/>
        <color rgb="FF1155CC"/>
        <rFont val="Arial"/>
        <scheme val="minor"/>
      </rPr>
      <t>Mar 04, 05:49</t>
    </r>
  </si>
  <si>
    <r>
      <t xml:space="preserve">identifi.health
</t>
    </r>
    <r>
      <rPr>
        <u/>
        <sz val="11"/>
        <color rgb="FF1155CC"/>
        <rFont val="Arial"/>
        <scheme val="minor"/>
      </rPr>
      <t>Mar 04, 14:18</t>
    </r>
  </si>
  <si>
    <r>
      <t xml:space="preserve">identifi.health
</t>
    </r>
    <r>
      <rPr>
        <u/>
        <sz val="11"/>
        <color rgb="FF1155CC"/>
        <rFont val="Arial"/>
        <scheme val="minor"/>
      </rPr>
      <t>Mar 07, 16:35</t>
    </r>
  </si>
  <si>
    <t>Time</t>
  </si>
  <si>
    <t>Comment</t>
  </si>
  <si>
    <t>Click Through Rate</t>
  </si>
  <si>
    <t>Post id</t>
  </si>
  <si>
    <t>Post Type</t>
  </si>
  <si>
    <t>New Followers from posts</t>
  </si>
  <si>
    <t>HaystackAnalytics
Sep 04, 08:46</t>
  </si>
  <si>
    <t>🎉 Hay5 – Celebrating 5 Years of HaystackAnalytics! 🎉 Five years ago, our founders – CEO Anirvan Chatterjee, COO Gaurav Srivastava &amp; CSM Kiran Kondabagil – started HaystackAnalytics with a bold vision: to make genomics accessible, applicable, and affordable. Today, as we celebrate our 5th Foundation Day, we reflect on a journey built on science, innovation, and impact. From tackling infectious diseases with infexn™ NGS, FLU-NGS, FEVER-NGS, Opthal NGS, and Ω TB to enabling proactive healthcare through human genomics with DGx Cardio Screening, DGx Pediatric Screening and PGx Comprehensive , we’ve strived to deliver first-line answers that empower clinicians, researchers, and patients alike. Over these five years, our mission has been clear: transforming healthcare through the power of Next-Generation Sequencing (NGS) – bringing actionable insights from genomics to real-world patient care. This milestone is not just ours – it belongs to our team, partners, and the scientific community who have trusted and supported us at every step. Here’s to continuing our journey of innovation, impact, and rewriting the future of healthcare with genomics. Abhimanyuu Nambisan Pranav Godse Shuja A. Rohan S SALVI Akhil Bhalerao siddharth sasane Gitesh Srivastava Anupama Pradeepkumar Namith N Vivek Singh Rathore Gopal Singh Rijul Pulikkal Nilava Banerjee Ragina Nair Pradeesh Sonali Kedar Simone Jetha Amrutraj Zade Dr Mahua Das Gupta (Kapoor) #Hay5 #HaystackTurns5 #FoundationDay #Genomics #NGS #Innovation #InfectiousDiseases #AMR #ProactiveHealthcare #PublicHealth #Healthcare</t>
  </si>
  <si>
    <t>Static</t>
  </si>
  <si>
    <t>HaystackAnalytics
Sep 05, 06:22</t>
  </si>
  <si>
    <t>We’re thrilled to announce our participation at CIDSCON 2025! 🎉 Join us to experience infexn® — the advanced infection detection test powered by NGS technology. Designed to go beyond conventional diagnostics, infexn® helps clinicians detect the right pathogen faster and with higher accuracy. 📅 12th–14th September, 2025 📍 National Centre for Performing Arts (NCPA), Mumbai Stall No: PL3 Don’t miss the chance to explore how infexn® is redefining infectious disease diagnostics. 👉 Mark your calendar and meet us at CIDSCON 2025! Abhimanyuu Nambisan Pranav Godse siddharth sasane Rohan S SALVI Shuja A. Dr Mahua Das Gupta (Kapoor) Simone Jetha Mayank Roy Akhil Bhalerao #PublicHealth #HealthCare #Diagnostics #Genomics #CIDSCON</t>
  </si>
  <si>
    <t>HaystackAnalytics
Sep 07, 04:30</t>
  </si>
  <si>
    <t>⏳ Only 5 days left! We’re all set for CIDSCON 2025 where the spotlight is on redefining infectious disease diagnostics. Discover how infexn® NGS is enabling faster, precise, and reliable answers for infection detection — when it matters most. 📍 Meet us at Stall No: PL3 📅 12th–14th September, 2025 | NCPA, Mumbai Step into the next era of infectious disease diagnostics with us. #Healthcare #PublicHealth #Diagnostics #Genomics #InfectiousDiseases Abhimanyuu Nambisan Pranav Godse Dr Mahua Das Gupta (Kapoor) Simone Jethasiddharth sasane Shuja A. Rohan S SALVI</t>
  </si>
  <si>
    <t>HaystackAnalytics
Sep 09, 06:23</t>
  </si>
  <si>
    <t>The wait is almost over — CIDSCON 2025 is just 3 days away! We're excited to showcase infexn®–NGS, the first-choice diagnostic that’s transforming infectious disease management with genomics-driven precision. Why visit us? ✅ Experience how NGS enables faster, more accurate infection detection ✅ Learn how infexn® helps clinicians choose the right treatment, the first time ✅ Explore real-world applications in critical care and beyond 📍 Stall PL3 | NCPA Mumbai | 12th – 14th September, 2025 Come be a part of the future of infectious disease diagnosis. 🔬 infexn® – Your go-to test for infection detection #PublicHealth #HealthCare #Diagnostics #Genomics Abhimanyuu Nambisan Pranav Godse Shuja A. Rohan S SALVI Dr Mahua Das Gupta (Kapoor) Simone Jetha Akhil Bhalerao Mayank Roy Simran Malik</t>
  </si>
  <si>
    <t>HaystackAnalytics
Sep 11, 10:41</t>
  </si>
  <si>
    <t>⏳ Just 1 Day to Go for CIDSCON 2025! We are all set to showcase how infexn®-NGS is transforming the landscape of infectious disease diagnostics. With the power of Next-Generation Sequencing (NGS), infexn® goes beyond conventional methods to deliver faster, more accurate, and comprehensive pathogen detection — helping clinicians make confident treatment decisions. 📍 Stall No. PL3 | Bhaba Atomic Auditorium Hall National Centre for Performing Arts (NCPA), Mumbai 📅 12th – 14th September, 2025 Join us at our stall and experience the future of infection detection. Abhimanyuu Nambisan Pranav Godse Shuja A. Rohan S SALVI Pranali Dongre Prachi Singh, PhD Mayank Roy Akhil Bhalerao Simran Malik #CIDSCON2025 #infexnNGS #DiagnosticsInnovation #InfectiousDiseases #FutureOfHealthcare</t>
  </si>
  <si>
    <t>HaystackAnalyticsSep 13, 06:28</t>
  </si>
  <si>
    <t>When organs start shutting down, it isn’t just a complication — it’s Sepsis. A silent killer that can turn deadly within hours. Routine tests often fail to keep up with its speed. That’s where infexn™ NGS transforms the game — a single-test solution for infectious diseases with a rapid 24-hour turnaround time. Because in Sepsis, timely diagnosis isn’t just important… it is a necessity! #PublicHealth #HealthCare #Diagnostic #Genomics Abhimanyuu Nambisan Pranav Godse siddharth sasane Simran Malik Anirvan Chatterjee Gaurav Srivastava Rohan S SALVI Shuja A. Gitesh Srivastava Mohammad Umair Gopal Singh Akhil Bhalerao Dr Mahua Das Gupta (Kapoor) Simone Jetha</t>
  </si>
  <si>
    <t>Video</t>
  </si>
  <si>
    <t>HaystackAnalytics Sep 16, 08:24</t>
  </si>
  <si>
    <t>Carousel</t>
  </si>
  <si>
    <t>HaystackAnalytics
Sep 16, 13:56</t>
  </si>
  <si>
    <t>HaystackAnalytics
Sep 17, 08:02</t>
  </si>
  <si>
    <t>HaystackAnalytics
Sep 17, 11:49</t>
  </si>
  <si>
    <t>HaystackAnalytics
Sep 20, 05:55</t>
  </si>
  <si>
    <t>HaystackAnalytics
Sep 20, 10:40</t>
  </si>
  <si>
    <t>HaystackAnalytics
Sep 20, 11:28</t>
  </si>
  <si>
    <t>💡 Could a hypothesis-free test help in diagnosis? At Coffee over Genomics during CIDSCON, doctors came together to share real-world patient case studies. In this session, Dr Mahua Das Gupta (Kapoor) explored how Next-Generation Sequencing (NGS) can uncover answers when traditional tests come up short, offering insights into complex diagnostic challenges. From puzzling cases to actionable solutions, this discussion highlights the power of NGS in modern clinical practice — helping doctors make informed decisions and improving patient outcomes. ☕ Watch this snippet and dive into the complete Case Study Discussion on YouTube with the Link below 👇 https://lnkd.in/dJqHBVe6 Abhimanyuu Nambisan Pranav Godse Shuja A. Rohan S SALVI siddharth sasane Simran Malik Simone Jetha Mohammad Umair Gitesh Srivastava Dr. Nidhi G. #HealthCare #PublicHealth #Diagnostic #Genomics #InfectiousDiseases</t>
  </si>
  <si>
    <t>HaystackAnalytics
Sep 22, 06:34</t>
  </si>
  <si>
    <t>💊 Informed decisions. Safer prescriptions. In this Coffee over Genomics discussion, Dr Noopur Kedare (Infectious Disease Specialist, Medicover Hospital) shares how NGS helps guide antibiotic stewardship — ensuring that treatment is precise, and unnecessary antibiotics are avoided when results come back negative. The conversation, moderated by Simran Malik (Medical Science Liaison, HaystackAnalytics), highlights the clinical importance of making evidence-based decisions that protect patients and reduce resistance. ☕ Catch the complete case discussion now on YouTube with the Link Below 👇 https://lnkd.in/dHw-wUZ7 Abhimanyuu Nambisan Pranav Godse siddharth sasane Shuja A. Rohan S SALVI Mohammad Umair Gitesh Srivastava #CoffeeOverGenomics #CIDSCON2025 #AntibioticStewardship #NGS</t>
  </si>
  <si>
    <t>HaystackAnalytics
Sep 22, 13:12</t>
  </si>
  <si>
    <t>A complicated case. Multiple rounds of testing. Yet, every result came back negative. Culture didn’t help. Panel-based tests gave no clarity. Meanwhile, the patient’s condition kept worsening. Dr Bansidhar Tarai shares how, at this critical juncture, he turned to sequencing — and how infexn™ NGS provided the answer conventional methods had missed, delivering the accurate pathogen detection that changed the course of treatment. This case reflects the growing need for precision diagnostics — and how infexn™ NGS delivers clarity when complexity rises. Watch the complete video with the Link below 👇 https://lnkd.in/dH4UXbvB Gaurav Srivastava Anirvan Chatterjee Abhimanyuu Nambisan Dr Mahua Das Gupta (Kapoor) Pranav Godse siddharth sasane Shuja A. Rohan S SALVI Gitesh Srivastava Anupama Pradeepkumar Namith N Rijul Pulikkal Mohammad Umair Gopal Singh #HealthCare #Diagnostics #Genomics #PublicHealth</t>
  </si>
  <si>
    <t>HaystackAnalytics
Sep 23, 05:44</t>
  </si>
  <si>
    <t>Fragmented DNA. False negatives. Missed answers. That’s what PCR and Microarray sometimes left behind. ☕ In this Coffee over Genomics session, Aneesh Nair Ph.D , joined by Simone Jetha, shares why he made the shift to Next-Generation Sequencing (NGS) — and how it’s changing the way infections are diagnosed. 🎥 Watch the complete discussion now on YouTube - https://lnkd.in/gxaafAPf Gaurav Srivastava Anirvan Chatterjee Dr Mahua Das Gupta (Kapoor) Abhimanyuu Nambisan Pranav Godse siddharth sasane Shuja A. Rohan S SALVI Simran Malik Gitesh Srivastava Anupama Pradeepkumar Mohammad Umair Rijul Pulikkal Gopal Singh #CoffeeOverGenomics #CIDSCON2025 #NGS #Diagnostics #HealthCare #Diagnostics</t>
  </si>
  <si>
    <t>HaystackAnalytics
Sep 23, 12:30</t>
  </si>
  <si>
    <t>HaystackAnalytics
Sep 25, 12:36</t>
  </si>
  <si>
    <t>HaystackAnalytics
Sep 27, 05:56</t>
  </si>
  <si>
    <t>HaystackAnalytics
Sep 30, 12:24</t>
  </si>
  <si>
    <t>🚨 Don’t miss out! Join us for a free webinar on "Revolutionizing Infectious Disease Diagnosis in Paediatric Critical Care" and see how infexn™ NGS is transforming infection detection with precision and speed. 🎙️ Expert Speaker: Dr Mukul Pandey, Head, PICU – St. Stephen’s Hospital, Delhi 🧑‍💼 Moderator: Dr. Koyel Ghosh, Medical Science Liaison, Delhi, HaystackAnalytics Get valuable insights on how NGS is reshaping clinical decision-making in paediatric intensive care. 📅 Date: 9th October ⏰ Time: 5:00 – 6:00 PM 🔗 Registration Link: https://lnkd.in/drVKDh3K 📌 Reserve your spot now and be part of the conversation shaping the future of paediatric care! Vivek Singh Rathore Mohammad Umair Gopal Singh Dr. Nidhi G. Abhimanyuu Nambisan Pranav Godse siddharth sasane Shuja A. Rohan S SALVI Gitesh Srivastava Anupama Pradeepkumar Namith N Rijul Pulikkal Dr Mahua Das Gupta (Kapoor) #Webinar #NGS #PaediatricCare #InfectiousDiseases #infexn #Healthcare #PublicHealth</t>
  </si>
  <si>
    <t>HaystackAnalytics
Oct 01, 06:05</t>
  </si>
  <si>
    <t>Heart health isn’t just about lifestyle — genetics plays a big role too. While two people may follow the same lifestyle, their heart risks can differ significantly because of genetic variations. This is a perspective that deserves more attention, especially as heart concerns rise among younger generations. Dr. Aparna Bhanushali shares her expert insights on this crucial connection between genetics, lifestyle, and heart health in leading publications — Hindustan Times and Firstpost. From understanding why millennials are increasingly at risk, to exploring how personalized approaches to diet and health can make a difference — these articles shed light on how science is reshaping our understanding of heart disease. 📖 Read the complete articles here: 🔗 Hindustan Times: https://lnkd.in/dxYcGyCG 🔗 Firstpost: https://lnkd.in/digr-__R #HeartHealth #Cardiology #Genomics #Healthcare #PublicHealth Pranav Godse siddharth sasane Rohan S SALVI Shuja A. Gitesh Srivastava Anupama Pradeepkumar Namith N Mohammad Umair</t>
  </si>
  <si>
    <t>HaystackAnalytics
Oct 02, 03:30</t>
  </si>
  <si>
    <t>🚨 1 Week to Go! 🚨 Join us for a FREE webinar on: Revolutionizing Infectious Disease Diagnosis in Pediatric Critical Care with NGS 🧬 🗓 Date: 9th October 2025 ⏰ Time: 5 PM – 6 PM 🎤 Speaker: Dr Mukul Pandey, PICU Head, St. Stephen’s Hospital, Delhi 🎙 Moderator: Dr. Koyel Ghosh, Medical Science Liaison, HaystackAnalytics 👉 Reserve your spot today and discover how NGS brings precision, speed, and clarity to pediatric critical care. 🔗https://lnkd.in/drVKDh3K Vivek Singh Rathore Mohammad Umair Dr. Nidhi G. Abhimanyuu Nambisan Pranav Godse siddharth sasane Shuja A. Rohan S SALVI Gitesh Srivastava Anupama Pradeepkumar Namith N Rijul Pulikkal #PediatricCare #CriticalCare #Webinar #NGS #HealthcareInnovation #HaystackAnalytics</t>
  </si>
  <si>
    <t>HaystackAnalytics
Oct 04, 05:38</t>
  </si>
  <si>
    <t>Excited to announce our upcoming FREE Webinar on the Clinical Impact of NGS for Lower Respiratory Tract Infections! 🫁 📅 Date: 14th October, 2025 🕔 Time: 05:00 PM – 06:00 PM (IST) Join us as Dr. Shamim Akhtar (HOD, Pulmonology Department, St. Stephen’s Hospital, Delhi) shares his clinical insights on how Next-Generation Sequencing (NGS) is reshaping the way we diagnose and manage lower respiratory tract infections. The session will be moderated by Koyel Ghosh (Medical Science Liaison, HaystackAnalytics, Delhi), ensuring a rich and engaging discussion. 🔗 Register now to be part of this transformative conversation! https://lnkd.in/dkVU_Tbz Vivek Singh Rathore Mohammad Umair Dr. Nidhi G. Abhimanyuu Nambisan Pranav Godse siddharth sasane Shuja A. Rohan S SALVI Gitesh Srivastava Anupama Pradeepkumar Namith N Rijul Pulikkal #Healthcare #PublicHealth #Pulmocare #Pulmonology #Respiratorycare</t>
  </si>
  <si>
    <t>HaystackAnalytics
Oct 04, 08:30</t>
  </si>
  <si>
    <t>🚨 Only 5 days to go! How is Next-Generation Sequencing (NGS) reshaping infectious disease diagnosis in children’s critical care units? 🧬👶 Join Dr Mukul Pandey (PICU Head at St. Stephen's Hospital) and Dr. Koyel Ghosh (Medical Science Liaison, HaystackAnalytics) as they discuss how NGS enables faster, more precise pathogen detection, improving treatment outcomes and saving lives in pediatric ICUs. 📍 Date: 9th October 2025 🕔 Time: 5 PM – 6 PM 💡 Don’t miss this opportunity to explore how advanced genomics is changing the future of pediatric healthcare. 👉 Register now! https://lnkd.in/drVKDh3K #Healthcare #PublicHealth #Pediatrics #Diagnostics #Genomics Vivek Singh Rathore Mohammad Umair Dr. Nidhi G. Gopal Singh Abhimanyuu Nambisan siddharth sasane Shuja A. Rohan S SALVI Pranav Godse Gitesh Srivastava Rijul Pulikkal</t>
  </si>
  <si>
    <t>HaystackAnalytics
Oct 04, 13:50</t>
  </si>
  <si>
    <t>👩‍⚕️ Expert Spotlight We are delighted to host Dr Mukul Pandey, Head of PICU at St. Stephen’s Hospital, Delhi, as our speaker for the upcoming webinar on “Revolutionizing Infectious Disease Diagnosis in Pediatric Critical Care with NGS” With over 15 years of experience in pediatric critical care, ECMO, and developmental neurology, Dr. Mukul brings unmatched expertise and a holistic approach to child health. 🗓 9th October, 2025 ⏰ 05:00 PM – 06:00 PM (IST) ✨ Don’t miss this opportunity to learn from one of the leading voices shaping pediatric critical care. Register now: https://lnkd.in/drVKDh3K #Healthcare #PediatricHealth #PublicHealth #Peadiatrics #Genomics Vivek Singh Rathore Mohammad Umair Dr. Nidhi G. Gopal Singh Abhimanyuu Nambisan Koyel Ghosh Pranav Godse siddharth sasane Shuja A. Rohan S SALVI Gitesh Srivastava Rijul Pulikkal</t>
  </si>
  <si>
    <t>HaystackAnalytics
Oct 06, 06:26</t>
  </si>
  <si>
    <t>🚨 3 Days to Go! Join us for an insightful Free Webinar on “Revolutionizing Infectious Disease Diagnosis in Pediatric Critical Care with NGS.” 🎙️ Speaker: Dr Mukul Pandey, PICU Head, St. Stephen’s Hospital, Delhi 💬 Moderator: Dr Koyel Ghosh, Medical Science Liaison, HaystackAnalytics 🗓️ 9th October 2025 🕔 5 PM – 6 PM 🔗 Register now and discover how NGS is transforming pediatric infection diagnostics. https://lnkd.in/drVKDh3K Vivek Singh Rathore Mohammad Umair Dr. Nidhi G. Gopal Singh Abhimanyuu Nambisan Pranav Godse siddharth sasane Shuja A. Rohan S SALVI Gitesh Srivastava Anupama Pradeepkumar Rijul Pulikkal #Webinar #PediatricCriticalCare #InfectiousDiseases #Healthcare #PublicHealth #NextGenerationSequencing #HaystackAnalytics</t>
  </si>
  <si>
    <t>HaystackAnalytics
Oct 07, 06:56</t>
  </si>
  <si>
    <t>🩺 1 Week to Go! Lower respiratory tract infections are a major healthcare challenge that demand rapid and accurate pathogen detection. Join us to learn how Next-Generation Sequencing (NGS) is transforming diagnostics and improving patient outcomes. 📌 Topic: Clinical Impact of NGS for Lower Respiratory Tract Infections 📅 Date: 14th October 2025 🕔 Time: 05:00 PM – 06:00 PM (IST) 🎙️ Speaker: Dr. Shamim Akhtar, HOD – Pulmonology, St. Stephen’s Hospital, Delhi 💬 Moderator: Dr. Koyel Ghosh, Medical Science Liaison, HaystackAnalytics 👉 Don’t miss this session — Register now and be part of the discussion! https://lnkd.in/dkVU_Tbz #HealthCare #PublicHealth #RespiratoryCare #InfectiousDiseases #Genomics #Diagnostics Vivek Singh Rathore Mohammad Umair Dr. Nidhi G. Gopal Singh Abhimanyuu Nambisan Pranav Godse siddharth sasane Shuja A. Gitesh Srivastava Anupama Pradeepkumar Namith N Rijul Pulikkal</t>
  </si>
  <si>
    <t>HaystackAnalytics
Oct 07, 13:51</t>
  </si>
  <si>
    <t>Diagnosing infectious diseases in critically ill children is often challenging. We want to know: what’s the biggest hurdle you face in your practice? ✅ Take a moment to vote in our poll and share your experience. 💡 Want to explore cutting-edge solutions for these challenges? Join our upcoming webinar: “Revolutionizing Infectious Disease Diagnosis in Pediatric Critical Care with NGS” Register now: https://lnkd.in/drh2aBAk #Healthcare #Publichealth #Pediatrics #CriticalCare #Genomics</t>
  </si>
  <si>
    <t>Poll</t>
  </si>
  <si>
    <t>HaystackAnalytics
Oct 08, 05:41</t>
  </si>
  <si>
    <t>HaystackAnalytics
Oct 08, 06:15</t>
  </si>
  <si>
    <t>⏳ 1 Day to Go! Don’t miss tomorrow’s webinar on "Revolutionizing Infectious Disease Diagnosis in Pediatric Critical Care with NGS" Discover how Next-Generation Sequencing (NGS) is transforming pediatric critical care with faster, more accurate pathogen detection — enabling timely interventions and better outcomes. 📅 9th October 2025 | 🕔 5 – 6 PM 🎤 Speaker: Dr. Mukul Pandey – PICU Head, St. Stephen’s Hospital, Delhi Moderator: Dr. Koyel Ghosh – Medical Science Liaison, HaystackAnalytics 🔗 Last chance to register – secure your spot now! https://lnkd.in/drVKDh3K Vivek Singh Rathore Mohammad Umair Dr. Nidhi G. Gopal Singh Abhimanyuu Nambisan Pranav Godse Gitesh Srivastava Rijul Pulikkal #Webinar #1DayToGo #NGS #PediatricCare #InfectiousDiseases #Diagnostics #HealthcareInnovation #HaystackAnalytics</t>
  </si>
  <si>
    <t>HaystackAnalytics
Oct 08, 11:10</t>
  </si>
  <si>
    <t>HaystackAnalytics
Oct 09, 08:02</t>
  </si>
  <si>
    <t>Only 5 days to go! Join us for an insightful session with Dr. Shamim Akhtar , HOD – Pulmonology, St. Stephen’s Hospital, Delhi, as he discusses the clinical impact of NGS in diagnosing Lower Respiratory Tract Infections. 🗓 14th October, 2025 🕔 5:00 PM – 6:00 PM (IST) Moderated by Dr Koyel Ghosh, Medical Science Liaison, HaystackAnalytics. 🎯 Don’t miss this chance to explore how NGS is transforming infectious disease diagnostics Register now: https://lnkd.in/dkVU_Tbz Vivek Singh Rathore Mohammad Umair Dr. Nidhi G. Gopal Singh Abhimanyuu Nambisan siddharth sasane Shuja A. Rohan S SALVI Gitesh Srivastava Rijul Pulikkal #infexnNGS #Webinar #NGS #RespiratoryCare #Pulmonology</t>
  </si>
  <si>
    <t>HaystackAnalytics
Oct 09, 12:47</t>
  </si>
  <si>
    <t>HaystackAnalytics
Oct 10, 06:20</t>
  </si>
  <si>
    <t>Gain insights from one of India’s leading pulmonologists, Dr. Shamim Akhtar, as he shares his expertise on the clinical impact of Next Generation Sequencing (NGS) in managing Lower Respiratory Tract Infections. With over two decades of experience and advanced fellowships in respiratory care, Dr. Shamim Akhtar will discuss how NGS is transforming diagnosis through faster and more accurate pathogen detection. 🗓️ 14th October, 2025 ⏰ 5:00 PM – 6:00 PM (IST) Join this free session to explore how genomics is shaping the future of respiratory medicine. Register now: https://lnkd.in/dkVU_Tbz Vivek Singh Rathore Mohammad Umair Dr. Nidhi G. Koyel Ghosh Abhimanyuu Nambisan Pranav Godse siddharth sasane Shuja A. Rohan S SALVI Gitesh Srivastava Anupama Pradeepkumar Namith N Rijul Pulikkal #Healthcare #PublicHealth #RespiratoryCare #Diagnostic #Genomics</t>
  </si>
  <si>
    <t>HaystackAnalytics
Oct 10, 10:30</t>
  </si>
  <si>
    <t>HaystackAnalytics
Oct 10, 12:10</t>
  </si>
  <si>
    <t>HaystackAnalytics
Oct 11, 05:46</t>
  </si>
  <si>
    <t>🧬 3 Days to Go! Join us for an insightful session on the Clinical Impact of NGS for Lower Respiratory Tract Infections, where we decode how sequencing technology is transforming diagnostic precision and patient outcomes. 🎙️ Speaker: Dr. Shamim Akhtar , HOD – Pulmonology, St. Stephen’s Hospital, Delhi 🎯 Moderator: Dr. Koyel Ghosh, Medical Science Liaison, HaystackAnalytics 📅 Date: 14th October 2025 🕔 Time: 5:00 PM – 6:00 PM (IST) 🔗 Register now and be part of this knowledge-driven discussion! https://lnkd.in/dkVU_Tbz Vivek Singh Rathore Mohammad Umair Dr. Nidhi G. Gitesh Srivastava Abhimanyuu Nambisan #Webinar #PublicHealth #HealthCare #ClinicalDiagnostics #RespiratoryInfections #GenomicDiagnostics #HaystackAnalytics</t>
  </si>
  <si>
    <t>HaystackAnalytics
Oct 11, 06:15</t>
  </si>
  <si>
    <t>HaystackAnalytics
Oct 13, 06:26</t>
  </si>
  <si>
    <t>⏳ 1 Day to Go! Join us for an insightful session on the Clinical Impact of NGS for Lower Respiratory Tract Infections 🧬 Gain valuable perspectives from Dr. Shamim Akhtar, HOD – Pulmonology, St. Stephen's Hospital, Delhi, as he shares real-world clinical experiences on how NGS is transforming infectious disease diagnosis. 🗓️ 14th October, 2025 🕔 05:00 PM – 06:00 PM (IST) Moderated by Dr. Koyel Ghosh , Medical Science Liaison, HaystackAnalytics 👉 Register Now to be part of this transformative discussion! https://lnkd.in/dkVU_Tbz Vivek Singh Rathore Mohammad Umair Dr. Nidhi G. Gitesh Srivastava Abhimanyuu Nambisan Rijul Pulikkal Anupama Pradeepkumar Namith N #infexn #NGS #Webinar #InfectiousDiseases #ClinicalDiagnostics #HaystackAnalytics</t>
  </si>
  <si>
    <t>HaystackAnalytics
Oct 15, 07:04</t>
  </si>
  <si>
    <t>🚨 Microblog Contest Alert! Got thoughts on how diagnostics have evolved from hypothesis intense to high-throughput? 🧬 Share your take in 100–150 words and stand a chance to win a ₹1000 Amazon voucher! 🎁 Topic: Next-Gen Diagnostics: From Hypothesis Intense to High-throughput 🏆 Top 3 entries will be featured at the MICROCON stall, infexn® website, and social media! Rules: ✍️ Word limit: 100–150 words 📚 APA references &amp; in-text citations required 🤖 AI/Plagiarism report &lt;10% similarity 🧍 One entry per participant Eligibility: PhD Scholars, Academicians &amp; MD Microbiologists 🗓️ Last Date to Submit: 25th October 2025 🔗 Click on the link below to participate and shape the future of diagnostics! https://lnkd.in/d75F8d_8 Abhimanyuu Nambisan Pranav Godse siddharth sasane Shuja A. Rohan S SALVI Simran Malik Gitesh Srivastava Anupama Pradeepkumar Namith N Vivek Singh Rathore Mohammad Umair Koyel Ghosh Simone Jetha Prachi Singh, PhD #Healthcare #PublicHealth #Diagnostic #Genomics #Contest #NGS #MICRCON2025</t>
  </si>
  <si>
    <t>HaystackAnalytics
Oct 15, 13:14</t>
  </si>
  <si>
    <t>🎥 Missed the live session? Catch the replay of our insightful webinar on “Revolutionizing Infectious Disease Diagnosis in Pediatric Critical Care with NGS.” Hear from Dr Mukul Pandey, PICU Head at St. Stephen’s Hospital, Delhi, as she shares real-world insights on how infexn®-NGS is transforming infection diagnosis in critical care. 🔗 Watch now and explore the future of precision diagnostics! https://lnkd.in/d4-AtTnX Vivek Singh Rathore Mohammad Umair Dr. Nidhi G. Koyel Ghosh Gitesh Srivastava Rijul Pulikkal Pranav Godse siddharth sasane Shuja A. Rijul Pulikkal #infexnNGS #NextGenSequencing #WebinarReplay #InfectiousDiseases #PediatricCare #NGS</t>
  </si>
  <si>
    <t>HaystackAnalytics
Oct 18, 11:55</t>
  </si>
  <si>
    <t>🚨 Webinar Replay Now Live! If you missed our insightful session with Dr. Shamim Akhtar on the Clinical Impact of NGS for Lower Respiratory Tract Infections, now’s your chance to catch up. Discover how NGS is reshaping infection diagnostics — offering faster, more precise detection and better clinical decisions. 🎥 Watch the full webinar here: https://lnkd.in/dvR6JQNQ Vivek Singh Rathore Mohammad Umair Koyel Ghosh #Healthcare #PublicHealth #Diagnostics #RespiratoryCare</t>
  </si>
  <si>
    <t>HaystackAnalytics
Oct 21, 12:30</t>
  </si>
  <si>
    <t>HaystackAnalytics
Oct 24, 05:36</t>
  </si>
  <si>
    <t>HaystackAnalytics
Oct 24, 10:33</t>
  </si>
  <si>
    <t>HaystackAnalytics
Oct 25, 05:22</t>
  </si>
  <si>
    <t>HaystackAnalytics
Oct 25, 09:30</t>
  </si>
  <si>
    <t>HaystackAnalytics
Oct 25, 12:16</t>
  </si>
  <si>
    <t>HaystackAnalytics
Oct 26, 04:29</t>
  </si>
  <si>
    <t>HaystackAnalytics
Oct 28, 13:24</t>
  </si>
  <si>
    <t>HaystackAnalytics
Oct 29, 15:56</t>
  </si>
  <si>
    <t>HaystackAnalytics
Oct 30, 09:37</t>
  </si>
  <si>
    <t>HaystackAnalytics
Oct 30, 12:53</t>
  </si>
  <si>
    <t>HaystackAnalytics
Nov 04, 12:34</t>
  </si>
  <si>
    <t>HaystackAnalytics
Nov 05, 13:49</t>
  </si>
  <si>
    <t>HaystackAnalytics
Nov 05, 14:04</t>
  </si>
  <si>
    <t>HaystackAnalytics
Nov 06, 08:05</t>
  </si>
  <si>
    <t>HaystackAnalytics
Nov 10, 11:08</t>
  </si>
  <si>
    <t>HaystackAnalytics
Nov 10, 13:37</t>
  </si>
  <si>
    <t>HaystackAnalytics
Nov 11, 15:23</t>
  </si>
  <si>
    <t>HaystackAnalytics
Nov 12, 07:57</t>
  </si>
  <si>
    <t>HaystackAnalytics
Nov 12, 12:04</t>
  </si>
  <si>
    <t>HaystackAnalytics
Nov 12, 13:15</t>
  </si>
  <si>
    <t>HaystackAnalytics
Nov 13, 13:47</t>
  </si>
  <si>
    <t>HaystackAnalytics
Nov 13, 14:45</t>
  </si>
  <si>
    <t>HaystackAnalytics
Nov 15, 11:35</t>
  </si>
  <si>
    <t>HaystackAnalytics
Nov 18, 14:42</t>
  </si>
  <si>
    <t>HaystackAnalytics
Nov 19, 07:18</t>
  </si>
  <si>
    <t>HaystackAnalytics
Nov 19, 07:47</t>
  </si>
  <si>
    <t>HaystackAnalytics
Nov 19, 10:24</t>
  </si>
  <si>
    <t>HaystackAnalytics
Nov 21, 11:04</t>
  </si>
  <si>
    <t>HaystackAnalytics
Nov 21, 15:00</t>
  </si>
  <si>
    <t>HaystackAnalytics
Nov 25, 15:19</t>
  </si>
  <si>
    <t>HaystackAnalytics
Nov 28, 12:37</t>
  </si>
  <si>
    <t>HaystackAnalytics
Dec 01, 13:12</t>
  </si>
  <si>
    <t>HaystackAnalytics
Dec 05, 05:45</t>
  </si>
  <si>
    <t>HaystackAnalytics
Dec 05, 13:07</t>
  </si>
  <si>
    <t>HaystackAnalytics
Dec 06, 14:12</t>
  </si>
  <si>
    <t>HaystackAnalytics
Dec 08, 10:27</t>
  </si>
  <si>
    <t>HaystackAnalytics
Dec 08, 13:30</t>
  </si>
  <si>
    <t>HaystackAnalytics
Dec 10, 12:02</t>
  </si>
  <si>
    <t>HaystackAnalytics
Dec 12, 14:57</t>
  </si>
  <si>
    <t>FREE WEBINAR ALERT! Unlock the next frontier of metagenomics! Join us for a power-packed session diving into advanced metagenomic approaches—from exploring resistance gene cassettes to leveraging long-range amplicon sequencing techniques that are shaping the future of microbial research. 🎙 Speakers: Dr. Amrutraj Zade, Head of R&amp;D, HaystackAnalytics Rakeshkumar Yadav, PhD, Postdoctoral Researcher, Division of Soil &amp; Water Management, KU Leuven, Belgium 📅 23rd December, 2025 🕞 3:30 PM Don’t miss this opportunity to learn from leading experts and broaden your understanding of cutting-edge sequencing science. 👉 Register Now to secure your spot! https://lnkd.in/dyz5Gwhx Inder Rawat Ranjan K. Abhimanyuu Nambisan Pranav Godse siddharth sasane Rohan S SALVI Gitesh Srivastava #Genomics #Metagenomics #sequencing #NGS #microbiology #biotechnology</t>
  </si>
  <si>
    <t>HaystackAnalytics
Dec 15, 12:51</t>
  </si>
  <si>
    <t>HaystackAnalytics
Dec 15, 13:30</t>
  </si>
  <si>
    <t>HaystackAnalytics
Dec 16, 05:35</t>
  </si>
  <si>
    <t>HaystackAnalytics
Dec 16, 12:55</t>
  </si>
  <si>
    <t>🧬 Free Webinar | 1 Week to Go Join us for an expert-led webinar on New Frontiers in Metagenomics, exploring resistance gene cassettes and advanced sequencing approaches shaping the future of microbial research. 🎙️ Speakers: Dr. Amrutraj Zade – Head of R&amp;D, HaystackAnalytics Dr. Rakeshkumar Yadav, PhD – Postdoctoral Researcher, KU Leuven, Belgium 📅 23 December 2025 | ⏰ 03:30 PM IST 🔗 Register now : https://lnkd.in/dyz5Gwhx Ranjan K. Abhimanyuu Nambisan Pranav Godse Rohan S SALVI Gitesh Srivastava Shuja A. Mohammad Umair Vivek Singh Rathore Rijul Pulikkal Raghu Raaj #Metagenomics #seqeuencing #genomics #microbiology #NGS #healthcare #publichealth</t>
  </si>
  <si>
    <t>HaystackAnalytics
Dec 17, 13:12</t>
  </si>
  <si>
    <t>HaystackAnalytics
Dec 18, 12:57</t>
  </si>
  <si>
    <t>⏳ 5 days to go! Join us for an insightful webinar as we dive into the evolving world of advanced metagenomics—from resistance gene cassettes to emerging scientific frontiers. 📅 23rd December 2025 🕞 03:30 PM IST 🎙️ Speakers: 🔹 Dr. Amrutraj Zade – Head of R&amp;D, HaystackAnalytics 🔹 Dr. Rakeshkumar Yadav, PhD – Postdoctoral Researcher, KU Leuven, Belgium Explore how metagenomics is reshaping research, diagnostics, and our understanding of microbial resistance. 👉 Register now and be part of the conversation shaping the future of metagenomics. https://lnkd.in/dyz5Gwhx Ranjan K. Abhimanyuu Nambisan Pranav Godse Shuja A. Rohan S SALVI Mohammad Umair Vivek Singh Rathore Gitesh Srivastava Rijul Pulikkal Raghu Raaj #Genomics #Healthcare #Diagnostics #PublicHealth #Metagenomics #Sequencing</t>
  </si>
  <si>
    <t>HaystackAnalytics
Dec 19, 13:02</t>
  </si>
  <si>
    <t>HaystackAnalytics
Dec 20, 12:31</t>
  </si>
  <si>
    <t>Metagenomics is redefining how we understand resistance, diversity, and discovery. Join us for an expert-led webinar on “Advanced Metagenomics: From Resistance Cassettes to New Frontiers”, featuring insights into integron-associated resistance gene cassettes and emerging sequencing approaches. 📅 23rd December 2025 ⏰ 03:30 PM 🎙️ Speakers: • Dr. Amrutraj Zade, Head of R&amp;D, HaystackAnalytics • Dr. Rakeshkumar Yadav, PhD, Postdoctoral Researcher, KU Leuven, Belgium Expand your perspective on metagenomics—from clinical relevance to cutting-edge research. 👉 Register now: https://lnkd.in/dyz5Gwhx Ranjan K. Abhimanyuu Nambisan Pranav Godse siddharth sasane Rohan S SALVI Shuja A. Gitesh Srivastava Mohammad Umair Vivek Singh Rathore Rijul Pulikkal Raghu Raaj #Metagenomics #NGS #GenomicResearch #AntimicrobialResistance #AMR #MicrobialGenomics #SequencingTechnology #ClinicalGenomics #LifeSciences #BiomedicalResearch #HaystackAnalytics</t>
  </si>
  <si>
    <t>HaystackAnalytics
Dec 20, 13:42</t>
  </si>
  <si>
    <t>Free Webinar | Advanced Metagenomics: From Resistance Cassettes to New Frontiers Explore how advanced metagenomic approaches are shaping our understanding of antimicrobial resistance and microbial complexity. 📅 23rd December 2025 | ⏰ 03:30 PM IST 🎙️ Speakers: • Dr. Amrutraj Zade, Head of R&amp;D, HaystackAnalytics • Dr. Rakeshkumar Yadav, Postdoctoral Researcher, KU Leuven, Belgium 🔗 Register to confirm your participation. https://lnkd.in/dyz5Gwhx #Metagenomics #NGS #AntimicrobialResistance #MicrobialGenomics #LifeSciences</t>
  </si>
  <si>
    <t>HaystackAnalytics
Dec 20, 14:55</t>
  </si>
  <si>
    <t>HaystackAnalytics
Dec 22, 07:59</t>
  </si>
  <si>
    <t>🚨 1 Day to Go | Free Webinar Dive into the evolving landscape of advanced metagenomics from resistance gene cassettes to emerging frontiers in sequencing science. 🧬Topic: Advanced Metagenomics - From Resistance Cassettes to New Frontiers 📅 23rd December 2025 ⏰ 03:30 PM IST 🎙️ Speakers: • Dr. Amrutraj Zade – Head of R&amp;D, Haystack Analytics • Dr. Rakeshkumar Yadav, PhD – Postdoctoral Researcher, KU Leuven, Belgium Gain insights into cutting-edge approaches, including long-range amplicon sequencing and its role in understanding antimicrobial resistance and complex microbial ecosystems. 👉 Register now to secure your spot https://lnkd.in/dyz5Gwhx Ranjan K. Abhimanyuu Nambisan Pranav Godse siddharth sasane Shuja A. Rohan S SALVI Gitesh Srivastava Mohammad Umair Vivek Singh Rathore Rijul Pulikkal Raghu Raaj #Webinar #Metagenomics #NGS #AntimicrobialResistance #Sequencing #MicrobialGenomics #HaystackLabs</t>
  </si>
  <si>
    <t>HaystackAnalytics
Dec 24, 14:09</t>
  </si>
  <si>
    <t>HaystackAnalytics
Dec 25, 05:22</t>
  </si>
  <si>
    <t>HaystackAnalyticsDec 26, 14:03</t>
  </si>
  <si>
    <t>HaystackAnalyticsDec 29, 12:36</t>
  </si>
  <si>
    <t>Flu awareness is usually addressed in hospitals and clinics. But the first exposure to flu—and its misconceptions—often happens much earlier. Through our FLU-NGS school awareness initiative, we took conversations around flu, hygiene, and responsible antibiotic use directly into classrooms. By engaging students early, we focused on building clarity and responsible awareness around respiratory infections—before myths turn into habits. This initiative was led on-ground by Dr. Simran Malik (Medical Science Liaison, Mumbai) and Ms. Pranali Dongre (Brand Communications Associate), who translated complex science into conversations young minds could relate to. Adding to this, Mr. Akhil Bhalerao (Assistant Manager – Partner Marketing) introduced The Flu Detective, an interactive learning experience that helped children understand flu through participation, not instruction. This wasn’t just a school visit. It was a community-first effort to shape informed health awareness at the earliest level. Because better health decisions don’t begin with prescriptions. They begin with awareness. FLU-NGS — supporting the right diagnosis, from awareness to action. Abhimanyuu Nambisan Mayank Roy Pranav Godse Rohan S SALVI Shuja A. siddharth sasane Gitesh Srivastava Mohammad Umair Rijul Pulikkal Raghu Raaj #FluAwareness #CommunityHealth #PublicHealth #AntibioticStewardship #FLUNGS #NGSDiagnostics #HealthcareEducation #HaystackAnalytics #Health</t>
  </si>
  <si>
    <t>HaystackAnalytics
Jan 01, 05:55</t>
  </si>
  <si>
    <t>As the new year begins, we move forward with renewed clarity, transforming uncertainty into insight, and enabling conditions to be recognized earlier and managed with greater confidence. Across clinical pathways and patient journeys, HaystackAnalytics remains focused on one purpose: simplifying diagnostic complexity, supporting evidence-based decisions, and making genomic insights accessible, applicable, and affordable where they matter most. Here’s to a year ahead shaped by timely answers, clearer direction, and better outcomes for patients and clinicians alike. #2026Begins #ClinicalGenomics #PrecisionDiagnostics #GenomicDiagnostics #ScienceInAction #PatientCentricCare #HealthcareInnovation</t>
  </si>
  <si>
    <t>HaystackAnalytics
Jan 03, 13:42</t>
  </si>
  <si>
    <t>Catch the replay of our webinar on Advanced Metagenomics, from resistance gene cassettes to new sequencing frontiers, now available on YouTube. The session features Dr. Amrutraj Zade, Head of R&amp;D at HaystackAnalytics, and Dr.Rakeshkumar Yadav, PhD, Postdoctoral Researcher at KU Leuven. The webinar explores long-range amplicon sequencing, its relevance to antimicrobial resistance, and how advancing genomic approaches are shaping the future of microbial research. ▶️ Watch the full session: https://lnkd.in/dKSk7X8b Ranjan K. Yashasvee Dwivedi| #Sequencing #NGS #Metagenomics #Microbiology #HealthCare #PublicHealth #Genomics</t>
  </si>
  <si>
    <t>HaystackAnalyticsJan 06, 05:00</t>
  </si>
  <si>
    <t>When infectious diagnostics go CODE RED, multifaceted precision becomes non-negotiable. Introducing infexnONE. One patient | One dedicated run | One decisive test. Stay tuned to know more. #InfectiousDisease #ClinicalDiagnostics #NGS #CriticalCare #HealthcareInnovation Gaurav Srivastava Anirvan Chatterjee Dr Mahua Das Gupta (Kapoor) Abhimanyuu Nambisan Pranav Godse Shuja A. Rohan S SALVI siddharth sasane Mohammad Umair Vivek Singh Rathore Gitesh Srivastava Anupama Pradeepkumar Namith N Rijul Pulikkal Raghu Raaj Gopal Singh masoom siddiqui</t>
  </si>
  <si>
    <t>HaystackAnalytics
Jan 08, 13:42</t>
  </si>
  <si>
    <t>Advancing conversations around the molecular diagnosis of CNS infections through the power of Next-Generation Sequencing. At the CME held at Manipal Hospital, Gurugram, Dr. Koyel Ghosh shared key insights on navigating diagnostic complexities in CNS infections and the role of infexn® NGS in enabling comprehensive, unbiased pathogen detection when conventional approaches may fall short. Meaningful discussions, engaged clinicians, and a shared goal—driving precision in infectious disease diagnostics. Vivek Singh Rathore Dr. Nidhi G. Mohammad Umair masoom siddiqui Inder Rawat Abhimanyuu Nambisan #HealthCare #PublicHealth #Diagnostic #Genomics #InfectiousDiseases</t>
  </si>
  <si>
    <t>HaystackAnalyticsJan 09, 14:33</t>
  </si>
  <si>
    <t>Exercise is always beneficial, but air quality changes the context. High AQI doesn’t erase the benefits of movement, rather blunt these benefits by increasing particulate exposure and weakening lung defense mechanisms. During exertion, deeper breathing allows pollutants to penetrate further, altering immune responses and making the lungs more permissive to infections. In such complex clinical scenarios where pollution-induced inflammation can mask or mimic infection infexn® NGS enables precise pathogen detection, helping differentiate environmental effects from true infectious causes and supporting accurate diagnostic decisions. Swipe to understand the science behind air quality, exercise, and respiratory infections. Abhimanyuu Nambisan Pranav Godse siddharth sasane Shuja A. Rohan S SALVI Gitesh Srivastava Anupama Pradeepkumar Namith N Mohammad Umair Vivek Singh Rathore Gopal Singh masoom siddiqui Rijul Pulikkal Raghu Raaj #AirQuality #AQI #RespiratoryHealth #NGSDiagnostics #infexn #InfectiousDiseases #HealthCare #PublicHealth #PrecisionDiagnostics</t>
  </si>
  <si>
    <t>HaystackAnalyticsJan 13, 14:18</t>
  </si>
  <si>
    <t>Young, physically active, and asymptomatic — yet still at risk of a life-threatening event. Arrhythmogenic Right Ventricular Cardiomyopathy (ARVC) is a leading inherited cause of sudden cardiac death in young adults, often escaping early clinical detection. With variable penetrance and delayed symptom onset, genetic testing becomes critical for confirming diagnosis, stratifying risk, and enabling cascade screening in affected families. Early genetic insight supports timely surveillance, clinical decision-making, and preventive intervention. Because in inherited cardiomyopathies, early diagnosis can be lifesaving. Abhimanyuu Nambisan Pranav Godse siddharth sasane Rohan S SALVI Shuja A. Gitesh Srivastava Anupama Pradeepkumar Namith N Mohammad Umair Vivek Singh Rathore masoom siddiqui Rijul Pulikkal Raghu Raaj #ARVC #Healthcare #PublicHealth #Cardiology #HeartHealth #PreventiveCardiology #ClinicalGenomics #Identifi</t>
  </si>
  <si>
    <t>HaystackAnalytics
Jan 15, 13:47</t>
  </si>
  <si>
    <t>Advancing infectious disease diagnostics with NGS. A focused Round Table Meet at Vinita Hospital, Chennai, where Dr. Koushik Koujalagi led an insightful discussion on the evolving role of Next-Generation Sequencing in infectious disease management. The session highlighted how infexn®-NGS supports accurate pathogen detection and informed clinical decision-making through real-world diagnostic insights. Abhimanyuu Nambisan Rijul Pulikkal Raghu Raaj #Healthcare #PublicHealth #Diagnostics #Genomics #InfectiousDiseases #NGS</t>
  </si>
  <si>
    <t>HaystackAnalyticsJan 16, 09:32</t>
  </si>
  <si>
    <t>Big day. Bigger milestone. A moment highlighting the role of genomics in shaping healthcare and empowering India’s genomic sovereignty. Our COO, Gaurav Srivastava, presenting HaystackAnalytics’ vision at National Startup Day, in interaction with Hon’ble PM Narendra Modi at Bharat Mandapam, New Delhi, as we were selected among the Top 10 startups celebrating 10 Years of Startup India. From innovation to national recognition, a proud milestone that reinforces our commitment to building with vision, purpose, and impact. Anirvan Chatterjee Indian Council of Medical Research (ICMR) Startup India Piyush Goyal Abhimanyuu Nambisan Dr Mahua Das Gupta (Kapoor) Gitesh Srivastava Amrutraj Zade Inder Rawat Mohammad Umair Vivek Singh Rathore Anupama Pradeepkumar Namith N Ragina N. Rijul Pulikkal Raghu Raaj Pranav Godse siddharth sasane Shuja A. Rohan S SALVI #Genomics #HealthcareInnovation #StartupIndia #NationalStartupDay #HaystackAnalytics #GenomicSovereignty</t>
  </si>
  <si>
    <t>HaystackAnalytics
Jan 16, 13:01</t>
  </si>
  <si>
    <t>What’s being envisioned at a national level for infection diagnostics reflects a critical need in clinical care today. As Indian Council of Medical Research (ICMR) highlights the importance of one comprehensive, syndromic diagnostic test to reduce delays and unnecessary antibiotic use, the focus rightly shifts to early, accurate pathogen identification. Fragmented, step-wise testing often forces empirical treatment decisions, contributing to inappropriate antibiotic exposure and accelerating antimicrobial resistance. infexn®-NGS, as a single, comprehensive diagnostic product, demonstrates how multi-pathogen identification from one test can support timely, evidence-based clinical decisions, helping clinicians move from assumption to confirmation early in the care pathway. Timely diagnosis is not just an operational improvement, it is central to responsible antibiotic use, effective antimicrobial stewardship, and meaningful progress against AMR. Abhimanyuu Nambisan Pranav Godse Rohan S SALVI siddharth sasane Shuja A. Gitesh Srivastava Anupama Pradeepkumar Namith N Mohammad Umair Vivek Singh Rathore masoom siddiqui Rijul Pulikkal Raghu Raaj Dr Mahua Das Gupta (Kapoor) Simone Jetha Dr. Simran Malik Koyel Ghosh The Times Of India Anuja Jaiswal Dr Rajiv Kumar Jain Siva Kumar Dr.Hitender Gautam #Diagnostics #Genomics #AMR #PublicHealth #InfectiousDiseases #NGS #HealthcareInnovation</t>
  </si>
  <si>
    <t>HaystackAnalyticsJan 19, 10:30</t>
  </si>
  <si>
    <t>🚀 Walk-In Interview | Join a Leading HealthTech Innovator We’re hiring Management Trainees and Business Development Associates to be part of India’s rapidly growing clinical genomics &amp; infectious disease diagnostics space. 📍 Location: Navi Mumbai 📅 Date: 31 January 2026 ⏰ Time: 11:00 AM – 5:00 PM This is a field-based opportunity, ideal for fresh graduates and post graduates eager to learn, interact with healthcare professionals, and contribute to business growth. 👉 Pre-register here: https://lnkd.in/dgGnpBPx 📩 You may also share your resume at careers@haystackanalytics.in Walk in with confidence. Opportunities await. Ragina N. Sweta Kumari Vedant Mudaliar Nachiket Patil Sonali Kedar Ameyota De #Hiring #WalkInInterview #FreshGraduates #HealthTech #Biotechnology #SalesCareers #NaviMumbai #HaystackAnalytics</t>
  </si>
  <si>
    <t>HaystackAnalytics
Jan 19, 11:35</t>
  </si>
  <si>
    <t>Driving precision in infectious disease diagnostics with Next-Generation Sequencing. At the CME with the Med-Jain Group in Pune, Dr. Simran Malik showcased the infectious disease diagnostic portfolio, emphasizing the role of infexn®NGS, FEVER-NGS, and FLU-NGS in comprehensive pathogen detection. This was followed by Dr. Likith Gandhi, who shared real-world infection cases highlighting the clinical application of advanced NGS based solutions The session concluded with meaningful discussions highlighting the growing clinical impact of NGS-based diagnostics. Abhimanyuu Nambisan Aqeeb Momin Vaidehi M. #Healthcare #Diagnostics #Genomics #InfectiousDiseases #NGS #CME #ClinicalInsights</t>
  </si>
  <si>
    <t>HaystackAnalytics
Jan 19, 12:32</t>
  </si>
  <si>
    <t>Superbug Delhi: When winter air becomes a carrier of drug-resistant bacteria. Recent findings show that Delhi’s winter air contains high levels of antibiotic-resistant bacteria, adding a new layer of risk to an already strained respiratory environment. Polluted air can compromise airway defenses and disrupt early immune responses, allowing resistant pathogens to persist and establish infection. When infections emerge under these conditions, delayed pathogen identification often leads to empirical antibiotic use, prolonged illness, and increased selective pressure for resistance. infexn®-NGS demonstrates how a single, comprehensive diagnostic test can provide early clarity, identifying pathogens and resistance markers together to support timely, evidence-based clinical decisions. Timely diagnosis is fundamental to responsible antibiotic use, effective antimicrobial stewardship, and meaningful progress against AMR. Abhimanyuu Nambisan Mohammad Umair Vivek Singh Rathore Gopal Singh masoom siddiqui Dr. Nidhi G. Pranav Godse Shuja A. Rohan S SALVI siddharth sasane Gitesh Srivastava Anupama Pradeepkumar Namith N Rijul Pulikkal Raghu Raaj #SuperbugDelhi #AMR #InfectiousDiseases #Diagnostics #NGS #PublicHealth #AntimicrobialStewardship</t>
  </si>
  <si>
    <t>HaystackAnalyticsJan 20, 12:49</t>
  </si>
  <si>
    <t>Genomics at the forefront of India’s innovation journey. At National Startup Day, our COO Gaurav Srivastava met with Shri Piyush Goyal to discuss the role of genomics-led innovation in advancing healthcare outcomes and strengthening India’s genomic sovereignty. The interaction highlighted HaystackAnalytics approach to translating this vision into scalable solutions through infexn-NGS and TB ONE, enabling faster and more accurate infectious disease detection for clinicians and public health systems. Guided by this focus, our goal is to democratize access to advanced genomics, strengthen India’s diagnostic infrastructure, and expand precision medicine capabilities across the country. Abhimanyuu Nambisan Pranav Godse Rohan S SALVI Shuja A. siddharth sasane Gitesh Srivastava Anupama Pradeepkumar Namith N Mohammad Umair Vivek Singh Rathore Gopal Singh masoom siddiqui Rijul Pulikkal Raghu Raaj Startup India Bharat Mandapam Amrutraj Zade Ragina N. Ranjan K. #GenomicsInIndia #HealthInnovation #Biotech #PrecisionMedicine #StartupIndia #HealthCare #PublicHealth #Genomics</t>
  </si>
  <si>
    <t>HaystackAnalytics
Jan 20, 13:05</t>
  </si>
  <si>
    <t>We appreciate Dr Ravi Gaur for resharing our work and for the thoughtful encouragement. At HaystackAnalytics, we remain focused on enabling early and accurate infection diagnosis through advanced genomics, with a strong emphasis on Tuberculosis elimination. Supporting faster turnaround times, precise pathogen detection, and outcomes aligned with the National Tuberculosis Elimination Programme (NTEP) continues to be central to our mission. Engagement and support from leaders across the public health and healthcare innovation ecosystem reaffirm the importance of building evidence-based, high-impact diagnostic solutions. We will continue to innovate with purpose, strengthening infection management and contributing meaningfully toward a TB-free India. National Tuberculosis Institute - India National Institute of Tuberculosis and Respiratory Diseases (NITRD) #Genomics #HealthcareInnovation #PublicHealth #Tuberculosis #NTEP #Diagnostics #EvidenceBasedCare #StartupIndia</t>
  </si>
  <si>
    <t>HaystackAnalyticsJan 21, 14:43</t>
  </si>
  <si>
    <t>Genetic Restrictive Cardiomyopathy (RCM) is a rare inherited condition that silently stiffens the heart muscle, limiting its ability to fill with blood even when pumping strength appears normal. This often leads to diastolic dysfunction without obvious cardiac enlargement. Genetic insights are critical for early risk identification. Advanced genomic tests like DGx Cardio Screening help uncover inherited cardiac predispositions early, enabling timely surveillance, family screening, and preventive interventions well before symptoms progress or rare sudden cardiac events emerge. Because in inherited cardiac conditions, early knowledge can change outcomes and one genetic diagnosis can help protect an entire family. Abhimanyuu Nambisan Pranav Godse Rohan S SALVI Shuja A. siddharth sasane Gitesh Srivastava Anupama Pradeepkumar Namith N Vivek Singh Rathore Mohammad Umair Gopal Singh masoom siddiqui Rijul Pulikkal Raghu Raaj #InheritedCardiacConditions #Cardiology #Genetics #DGxCardioScreening #CardiacGenomics #PreventiveCardiology #PrecisionDiagnostics #identifi</t>
  </si>
  <si>
    <t>HaystackAnalyticsJan 22, 06:23</t>
  </si>
  <si>
    <t>Are we losing our frontline antibiotics? Once a trusted first-line therapy, ciprofloxacin is now showing alarming resistance across major bacterial pathogens, as highlighted by a large clinical study from SMS Hospital Jaipur. This growing resistance reflects a deeper challenge, treating infections without timely, accurate pathogen identification. Antimicrobial Resistance (AMR) is no longer a future concern; it is a present clinical reality driven by empirical therapy, delayed diagnostics, and limited visibility into the true causative organism. The consequence is slower recovery, increased testing, and unpredictable treatment outcomes. This is where infexn® NGS adds critical clinical value. By enabling early, comprehensive pathogen detection along with antimicrobial resistance gene (ARG) insights, infexn® NGS supports evidence-based antibiotic selection, moving care away from assumptions toward precision-driven decisions. Abhimanyuu Nambisan Pranav Godse Rohan S SALVI Shuja A. siddharth sasane Gitesh Srivastava Anupama Pradeepkumar Namith N Mohammad Umair Vivek Singh Rathore masoom siddiqui Aqeeb Momin Gopal Singh Rijul Pulikkal Rohan S SALVI SMS HOSPITAL #AntimicrobialResistance #AMR #NGS #InfectiousDisease #ClinicalMicrobiology #HealthCare #PublicHealth</t>
  </si>
  <si>
    <t>HaystackAnalytics
Jan 22, 14:04</t>
  </si>
  <si>
    <t>Thank you for sharing a insightful perspective on the CME and the evolving role of NGS in infectious disease diagnostics. As infections become more complex, the need for comprehensive, evidence-based diagnostics has never been greater. NGS is not just a technological upgrade, but a meaningful shift towards precision, context-driven clinical decision-making, especially when timely diagnostic and targeted treatment becomes crucial. We truly appreciate voices like yours that are helping spread awareness and build deeper understanding of NGS in real-world clinical practice. Conversations like these are key to shaping the future of infectious disease diagnostics. #NGS #InfectiousDiseases #AMR #PrecisionDiagnostics #Genomics</t>
  </si>
  <si>
    <t>HaystackAnalyticsJan 24, 06:40</t>
  </si>
  <si>
    <t>Strengthening collaboration. Advancing diagnostics. Driving clinical impact. At Jeevan Mala Hospital, Delhi, we had an engaging knowledge exchange on “Acing Infectious Disease Diagnostics with NGS”, highlighting how next-generation sequencing is reshaping the way clinicians approach infectious diseases. Dr. Koyel Ghosh, Dr Ravi Gaur, and Dr. Nidhi G. shared clinical insights, on the evolving role of infexn® NGS in infectious disease management. The discussion focused on how comprehensive pathogen detection, precision diagnostics, and data-driven insights can support clinicians in making informed therapeutic decisions and improving patient outcomes. The session underscored the importance of adoption of advanced NGS based diagnostics and translating genomic insights into routine clinical practice. Abhimanyuu Nambisan Vivek Singh Rathore Mohammad Umair Gopal Singh masoom siddiqui #NGS #InfectiousDiseaseDiagnostics #ClinicalMicrobiology #PrecisionDiagnostics #infexn #HealthcareInnovation #CME</t>
  </si>
  <si>
    <t>HaystackAnalyticsJan 28, 12:23</t>
  </si>
  <si>
    <t>Infections don’t pause between decisions. Now, neither does diagnostic clarity. Introducing infexnCOVER, an unlimited genomic infection testing package, delivering continuous insights with zero decision latency from admission to discharge. Not just a test. A diagnostic safety net. Gaurav Srivastava Anirvan Chatterjee Dr Mahua Das Gupta (Kapoor) Amrutraj Zade Simone Jetha Abhimanyuu Nambisan Shuja A. Rohan S SALVI Pranav Godse siddharth sasane Gitesh Srivastava Anupama Pradeepkumar Namith N Vivek Singh Rathore Mohammad Umair Dr. Nidhi G. Gopal Singh Aqeeb Momin masoom siddiqui Rijul Pulikkal Raghu Raaj Koyel Ghosh Dr. Simran Malik Nithin K #InfectiousDiagnostics #ClinicalGenomics #NGSDiagnostics #PrecisionMedicine #Healthcare #PublicHealth</t>
  </si>
  <si>
    <t>HaystackAnalytics
Jan 28, 13:32</t>
  </si>
  <si>
    <t>When clinicians connect beyond physical boundaries, knowledge becomes actionable. An online exchange led by Dr. Simran Malik on orthopedic infections with clinicians at Mangal Anand Hospital, highlighted how infexn®-NGS is enabling deeper insights and more confident clinical decisions in complex cases. The session concluded with shared insights, emphasizing the need for advanced genomic solutions for infectious disease diagnostics and management. Abhimanyuu Nambisan Pranav Godse Rohan S SALVI siddharth sasane Shuja A. #ClinicalGenomics #NGSDiagnostics #InfectiousDiseases #HealthcareInnovation #PrecisionMedicine #MedicalInnovation #AMR #ClinicianCommunity</t>
  </si>
  <si>
    <t>HaystackAnalytics
Jan 28, 14:03</t>
  </si>
  <si>
    <t>Redefining how infections are detected begins with meaningful clinical conversations. At Round Table Meet with the Chembur Association of Surgeons, Dr. Simran Malik shared insights on how infexn®-NGS is transforming infectious disease diagnosis through precise and comprehensive pathogen detection. The discussion highlighted real-world challenges in infection management and the growing role of genomic diagnostics in enabling faster, more informed clinical decisions. Abhimanyuu Nambisan Pranav Godse Rohan S SALVI Shuja A. siddharth sasane #InfectiousDiagnostics #ClinicalGenomics #NGSDiagnostics # #Healthcare #PublicHealth #InfectiousDiseases #AMR</t>
  </si>
  <si>
    <r>
      <t xml:space="preserve">HaystackAnalytics 
</t>
    </r>
    <r>
      <rPr>
        <sz val="10"/>
        <color rgb="FF000000"/>
        <rFont val="Arial"/>
      </rPr>
      <t>Jan 29, 11:51</t>
    </r>
  </si>
  <si>
    <t>Not all metabolic disorders are evident at birth. Methylmalonic Acidemia (MMA) is a rare inherited metabolic disorder, affecting the breakdown of certain amino acids leading to accumulation of toxic compounds overtime effecting vital organs and functions. Clinical signs often emerge only after feeding begins, impacting metabolic imbalance further. Early genetic screening with DGx Pediatric Screening enables prompt diagnosis, timely intervention, and informed clinical management. Abhimanyuu Nambisan Pranav Godse Rohan S SALVI Shuja A. siddharth sasane Gitesh Srivastava Anupama Pradeepkumar Namith N Vivek Singh Rathore Mohammad Umair Gopal Singh masoom siddiqui Rijul Pulikkal Raghu Raaj #MMA #NewbornScreening #PublicHealth #InheritedMetabolicDisorders #GeneticTesting #HealthCare #PrecisionDiagnostics #identifi</t>
  </si>
  <si>
    <t>HaystackAnalytics
Jan 29, 12:32</t>
  </si>
  <si>
    <t>🚀 Just 2 days to go! Kickstart your career with HaystackAnalytics, India’s leading HealthTech innovator shaping the future of genomics &amp; diagnostics. 📌 Walk-In Interviews 🗓 31st January 2026 (Saturday) ⏰ 11:00 AM – 5:00 PM 📍 Navi Mumbai, Maharashtra we Open Positions: • Management Trainee • Business Development Associate Why attend? ✅ Learn from the fast-growing world of genomics &amp; diagnostics ✅ Hands-on exposure to real business &amp; field sales ✅ On-ground interaction with doctors &amp; clinicians 👇Pre-register here: https://lnkd.in/dmx9xWnQ Walk in with your resume. Your journey into healthcare innovation starts here. 🧬 Ragina N. Vedant Mudaliar Ameyota De Nachiket Patil Abhimanyuu Nambisan Rohan S SALVI siddharth sasane Shuja A. Gitesh Srivastava Rijul Pulikkal Raghu Raaj Mohammad Umair Vivek Singh Rathore #HaystackAnalytics #WalkInInterviews #Diagnostics #HiringNow #SalesCareers #Genomics #JobOpportunities</t>
  </si>
  <si>
    <t>HaystackAnalytics
Jan 29, 13:00</t>
  </si>
  <si>
    <t>The Spanish Flu didn’t act alone. It was the unseen secondary infections that turned a viral outbreak into a global catastrophe. A century ago, millions died not just from the virus, but from bacterial pneumonia that followed lung damage, when treatment was guided by symptoms, not by the causative pathogen making clinical outcomes uncertain. Today, the story hasn’t changed, only the setting has. Overlapping infections, blurred symptoms, inflamed lungs, and delayed pathogen identification continue to shape clinical decisions, often leading to empirical treatment and missed co-infections. infexn®-NGS redefines this gap by delivering comprehensive detection of viruses, bacteria, and co-infections from a single sample, offering clarity before conditions escalate. Abhimanyuu Nambisan Pranav Godse Shuja A. Rohan S SALVI siddharth sasane Gitesh Srivastava Anupama Pradeepkumar Namith N Vivek Singh Rathore Mohammad Umair Dr. Nidhi G. Gopal Singh masoom siddiqui Aqeeb Momin Rijul Pulikkal Raghu Raaj #SpanishFlu #HealthCare #PublicHealth #InfectiousDiseases #Diagnostics #NGS #CoInfections #PublicHealth</t>
  </si>
  <si>
    <r>
      <t xml:space="preserve">HaystackAnalytics 
</t>
    </r>
    <r>
      <rPr>
        <sz val="10"/>
        <color rgb="FF000000"/>
        <rFont val="Arial"/>
      </rPr>
      <t>Jan 30, 06:39</t>
    </r>
  </si>
  <si>
    <t>Advancing infectious disease diagnostics with clinical-grade NGS. An insightful Round Table Meet at St.Stephen's Hospital - India, Delhi, facilitated by insightful discussions from Dr Koyel Ghosh and Dr SHAMIM AKHTAR, focusing on the growing role of Next-Generation Sequencing in infectious disease diagnostics. The discussion highlighted how infexn®-NGS and FLU-NGS leverage precision genomics to improve diagnostic accuracy and support informed clinical decision-making, with valuable perspectives shared on integrating NGS into routine infectious disease workflows. Abhimanyuu Nambisan Vivek Singh Rathore Mohammad Umair Dr. Nidhi G. Gopal Singh masoom siddiqui #NextGenerationSequencing #HealthCare #PublicHealth #InfectiousDiseases #PrecisionGenomics #ClinicalDiagnostics #HealthcareInnovation #MedicalScience</t>
  </si>
  <si>
    <t>HaystackAnalytics
Jan 30, 07:30</t>
  </si>
  <si>
    <t>⏰ Just 1 day to go! Your opportunity to start a career in HealthTech is here. Walk-In Interviews for passionate, driven individuals ready to work at the intersection of healthcare &amp; technology. 📌 Open Positions: • Management Trainee • Business Development Associate 📍 Event Details: 🗓 Saturday, 31st January 2026 ⏰ 11:00 AM – 5:00 PM 📍 Navi Mumbai, Maharashtra 📝 Pre-register here: 👉 https://lnkd.in/dmx9xWnQ Don’t miss it. Walk in tomorrow and take the first step towards healthcare innovation. 🧬 Ragina N. Vedant Mudaliar Nachiket Patil Ameyota De Sonali Kedar Abhimanyuu Nambisan Pranav Godse Shuja A. Rohan S SALVI Gitesh Srivastava Vivek Singh Rathore Mohammad Umair Raghu Raaj Rijul Pulikkal #HaystackAnalytics #WalkInInterviews #HiringNow #Genomics #Diagnostics #HealthcareInnovation #LifeSciences</t>
  </si>
  <si>
    <t>HaystackAnalytics
Jan 30, 08:45</t>
  </si>
  <si>
    <t>Elevating infectious disease diagnostics with NGS. A collaborative Round Table Meet at Jeevan Jyoti Clinic and Hospital, Delhi, fostering focused conversations on how Next-Generation Sequencing is transforming infectious disease diagnosis in clinical practice. The discussion, led by Dr Koyel Ghosh, Medical Science Liaison, HaystackAnalytics, showcased real-world insights on leveraging NGS for accurate detection and confident clinical decision-making. Abhimanyuu Nambisan Mohammad Umair Vivek Singh Rathore Inder Rawat masoom siddiqui Gopal Singh Dr. Nidhi G. #HealthcareInnovation #NGS #Diagnostics #InfectiousDisease #GenomicMedicine #ClinicalInsights</t>
  </si>
  <si>
    <t>HaystackAnalytics
Jan 30, 13:16</t>
  </si>
  <si>
    <t>⏱️ A small scratch. A big diagnostic blind spot. Swipe to read a real-world case where routine tests failed until infexn®- NGS revealed the truth. Abhimanyuu Nambisan Pranav Godse Rohan S SALVI Shuja A. siddharth sasane Gitesh Srivastava Anupama Pradeepkumar Namith N Vivek Singh Rathore Mohammad Umair Dr. Nidhi G. Gopal Singh masoom siddiqui Dr Koyel Ghosh Rijul Pulikkal Raghu Raaj Dr Koyel Ghosh Dr. Simran Malik #infexnNGS #CaseStudy #HealthCare #PublicHealth #NGS #InfectiousDiseases #PrecisionDiagnostics #Doctors #ClinicalImpact #HaystackAnalytics</t>
  </si>
  <si>
    <t>HaystackAnalytics
Jan 30, 14:23</t>
  </si>
  <si>
    <t>Redefining respiratory infection diagnostics using FLU-NGS. An engaging Round Table Meet at Sundaram Medical Foundation Hospital, Chennai, where clinicians and doctors came together to discuss how Next-Generation Sequencing is reshaping respiratory infection diagnosis. The discussion highlighted how FLU-NGS enables precise pathogen detection and supports confident, data-driven clinical decisions. Abhimanyuu Nambisan sahul hameed p Raghu Raaj #HealthCare #Diagnostics #NGS #Genomics #RespiratoryInfections #ClinicalInsights</t>
  </si>
  <si>
    <r>
      <t xml:space="preserve">HaystackAnalytics 
</t>
    </r>
    <r>
      <rPr>
        <sz val="10"/>
        <color rgb="FF000000"/>
        <rFont val="Arial"/>
      </rPr>
      <t>Feb 04, 12:03</t>
    </r>
  </si>
  <si>
    <t>Metabolism plays a foundational role in early growth and development and when something goes wrong at this level, the effects can quietly begin in infancy. Rare inherited metabolic disorders like Tyrosinemia often remain under-recognized in their early stages, even though harmful biochemical changes may already be impacting vital organs. Without timely identification, these conditions can progress before clear clinical signs emerge. This is where early genetic insight becomes essential. Understanding the underlying cause helps enable accurate diagnosis, differentiation of subtypes, informed clinical management, and meaningful conversations with families about long-term care and screening. Abhimanyuu Nambisan Pranav Godse Rohan S SALVI Shuja A. siddharth sasane Gitesh Srivastava Anupama Pradeepkumar Namith N Vivek Singh Rathore Mohammad Umair Gopal Singh masoom siddiqui Rijul Pulikkal Raghu Raaj #PediatricGenetics #RareMetabolicDisorders #Tyrosinemia #EarlyDiagnosis #GeneticInsight #ChildHealth</t>
  </si>
  <si>
    <t>HaystackAnalytics
Feb 04, 12:32</t>
  </si>
  <si>
    <t>This year’s World Cancer Day theme, “United by Unique,” highlights the individuality of every cancer journey. While a diagnosis may carry the same name, each person’s experience is shaped by age, biology, and genetic makeup. These differences matter, influencing how cancer develops, how it is understood, and how it is treated. Recognizing the role of genomics and the value of early insight allows cancer care to move closer to the individual, supporting more informed decisions and more personalized paths forward. Abhimanyuu Nambisan Pranav Godse Rohan S SALVI Shuja A. Gitesh Srivastava Vivek Singh Rathore Mohammad Umair Rijul Pulikkal Raghu Raaj #WorldCancerDay #UnitedByUnique #CancerAwareness #Genomics #EarlyDiagnosis #PrecisionMedicine #PersonalizedCare</t>
  </si>
  <si>
    <t>HaystackAnalytics
Feb 04, 13:30</t>
  </si>
  <si>
    <t>For years, antibiotic resistance meant hospital wards and patients. Science is now telling a bigger story. Nature is starting to reflect the same pressure. And bees are helping us see it. Swipe to know more. Abhimanyuu Nambisan Pranav Godse Shuja A. Rohan S SALVI siddharth sasane Gitesh Srivastava Anupama Pradeepkumar Namith N Vivek Singh Rathore Mohammad Umair Gopal Singh Aqeeb Momin masoom siddiqui Rijul Pulikkal Raghu Raaj #AntimicrobialResistance #OneHealth #MicrobialWorld #GlobalHealth #ScienceCommunication #HealthCare #PublicHealth</t>
  </si>
  <si>
    <t>HaystackAnalytics
Feb 06, 15:08</t>
  </si>
  <si>
    <t>Shaping the future of newborn screening through research. Join us for an expert-led webinar centered on the GUARDIAN Project, a research initiative contributing to work around advancements in newborn screening and early-life genetic research.| The session will be led by Dr. Wendy Chung, whose work has played a pivotal role in advancing how genetic research informs pediatric care. The discussion will explore how research-driven screening efforts are shaping evolving perspectives in newborn health. Moderated by: Aparna Bhanushali, Director, Medical genetics, HaystackAnalytics Date: 19th February 2026 Time: 5:00 PM IST | 6:30 AM EST 🔗 Register now to be part of this important scientific dialogue. https://lnkd.in/de4ceU4J Abhimanyuu Nambisan Pranav Godse Shuja A. Rohan S SALVI siddharth sasane Vivek Singh Rathore Mohammad Umair Dr. Nidhi G. Gitesh Srivastava Anupama Pradeepkumar Namith N Gopal Singh Rijul Pulikkal Raghu Raaj Dr Koyel Ghosh Yasmeen Kauser Shalabh Saxena #Webinar #Pediatrics #Genomics #HealthCare #Diagnostics #Genetics #PublicHealth</t>
  </si>
  <si>
    <t>HaystackAnalytics
Feb 07, 10:29</t>
  </si>
  <si>
    <t>Advancing clinical decision-making through genomics. At RTM, Genesis Hospital , Dr Koyel Ghosh, Medical Science Liaison and the team shared insights on the expanding role of advanced NGS solutions—spanning across infectious disease diagnostics to early genetic screening for newborn screening and cardiac conditions to enable proactive, preventive care. The integration of genomics into routine clinical practice is paving the way for more informed, timely, and personalized healthcare decisions. Abhimanyuu Nambisan Vivek Singh Rathore Mohammad Umair Dr. Nidhi G. Inder Rawat #HealthCare #PublicHealth #NGS #InfectiousDiseaseDiagnostics #NewbornScreening #CardiacGenetics #PrecisionDiagnostics #RTM</t>
  </si>
  <si>
    <t>HaystackAnalytics
Feb 07, 11:31</t>
  </si>
  <si>
    <t>Elevating infectious disease diagnostics through NGS 🧬 Dr Vijay Kulkarni delivered an impactful session demonstrating how NGS-based solutions are reshaping infectious disease diagnostics—driving faster insights, smarter clinical decisions, and improved patient outcomes. From sharp questions to collaborative discussions, the session showcased how advanced genomics is translating from innovation into real-world clinical impact. Abhimanyuu Nambisan Rohan S SALVI Shuja A. Shailaja Patil #CME #NGS #InfectiousDiseaseDiagnostics #GenomicMedicine #ClinicalInnovation #PrecisionDiagnostics #HealthCare #PublicHealth</t>
  </si>
  <si>
    <t>HaystackAnalytics
Feb 07, 12:45</t>
  </si>
  <si>
    <t>TB symptoms. Different pathogen. Some TB-like infections are actually non-tuberculous mycobacteria (NTM), often missed, often misdiagnosed. Accurate identification changes treatment. infexn®-NGS helps detect and differentiate TB vs NTM at the genomic level for precise diagnosis. Swipe to learn the difference. Abhimanyuu Nambisan Pranav Godse Shuja A. Rohan S SALVI siddharth sasane Gitesh Srivastava Mohammad Umair Vivek Singh Rathore Rijul Pulikkal Raghu Raaj #HealthCare #PublicHealth #Diagnostics #Genomics #NTM #NontuberculousMycobacteria #TB #Tuberculosis #MDRTB</t>
  </si>
  <si>
    <t>HaystackAnalytics
Feb 07, 14:01</t>
  </si>
  <si>
    <t>When physical traits point to deeper genetic risks.  Marfan syndrome is an inherited connective tissue disorder that can affect multiple organ systems, particularly the heart and blood vessels. The condition often remains clinically silent until progressive cardiovascular complications appear. Many cardiac conditions, including Marfan syndrome, have a genetic basis, where inherited factors can gradually weaken the heart and blood vessels without early warning signs. Early genetic screening with DGx Cardio Screening enables timely diagnosis, supports proactive monitoring, and guides long-term clinical management, significantly reducing the risk of life-threatening events. Abhimanyuu Nambisan Pranav Godse Rohan S SALVI Shuja A. siddharth sasane Mohammad Umair Vivek Singh Rathore masoom siddiqui Gitesh Srivastava Rijul Pulikkal Raghu Raaj #MarfanSyndrome #HealthCare #PublicHealth #Cardiology #EarlyDiagnosis #PrecisionDiagnostics #Genomics #GeneticTesting</t>
  </si>
  <si>
    <t>HaystackAnalytics
Feb 09, 14:25</t>
  </si>
  <si>
    <t>We’re not just working with next-generation sequencing—we’re enabling the next generation of healthcare impact. In The Hindu, Dr. Anirvan Chatterjee shares how HaystackAnalytics is leveraging AI-enabled technology to translate genomics into fast, affordable, and actionable insights for infectious disease care—bringing precision diagnostics closer to patients and practitioners alike. Abhimanyuu Nambisan Shuja A. Rohan S SALVI Mohammad Umair Gitesh Srivastava Rijul Pulikkal Raghu Raaj Ananya Ganapathy #Diagnostics #Genomics #InfectiousDiseases #PrecisionMedicine #AIinHealthcare</t>
  </si>
  <si>
    <t>HaystackAnalytics
Feb 10, 13:30</t>
  </si>
  <si>
    <t>From screening to clinical decision-making, genetics is shaping stronger prenatal care. 🧬 At the CME with Society of Fetal Medicine (SFM), Jammu , Ms. Adrija Mishra, Senior Genetic Counsellor at HaystackAnalytics, led an insightful discussion on prenatal genetic testing—highlighting key screening and diagnostic modalities, including the role of NIPT, in supporting informed clinical decisions and advancing maternal– fetal care. With meaningful on-ground engagement and collaborative expertise from the identifi sales team, the session showcased how integrated clinical insights and support can drive real impact in prenatal genetics. Wajid Zahoor Bhat Abhimanyuu Nambisan Inder Rawat #CME #PrenatalGenetics #NIPT #Healthcare #PublicHealth #GenomicMedicine #PrecisionHealthcare #HaystackAnalytics #identifi</t>
  </si>
  <si>
    <t>HaystackAnalytics
Feb 10, 13:36</t>
  </si>
  <si>
    <t>From accurate detection to timely intervention, precision diagnostics are transforming respiratory care. At RTM, Delhi Heart and Lung Institute, Dr Koyel Ghosh highlighted the clinical use of infexn NGS and FLU-NGS for the accurate detection of upper and lower respiratory infections, emphasizing their role in supporting timely clinical decisions and improved patient management. #RTM #RespiratoryInfections #PrecisionDiagnostics #Healthcare #PublicHealth #infexn #FLUNGS Abhimanyuu Nambisan Inder Rawat Mohammad Umair Vivek Singh Rathore</t>
  </si>
  <si>
    <t>HaystackAnalytics
Feb 11, 07:34</t>
  </si>
  <si>
    <t>Heart attack and heart failure are frequently confused — but they represent distinct clinical conditions. A heart attack is an acute event caused by sudden interruption of blood flow to the heart muscle. Heart failure, in contrast, is typically a progressive syndrome in which the heart gradually loses its ability to pump or fill efficiently. In its early stages, heart failure may not present dramatically. Symptoms such as breathlessness on exertion, fatigue, or reduced exercise tolerance are often normalized — attributed to stress, lifestyle, or ageing rather than underlying cardiac dysfunction. For individuals with inherited cardiac predispositions, genetic insights can add another layer to risk assessment. Advanced solutions like DGx Cardio Screening support early risk stratification and informed monitoring for proactive care. This Heart Awareness Week, the focus should extend beyond acute events to recognizing silent progression and identifying risk earlier. Abhimanyuu Nambisan Pranav Godse Shuja A. Rohan S SALVI siddharth sasane Vivek Singh Rathore Mohammad Umair masoom siddiqui Gitesh Srivastava Raghu Raaj Rijul Pulikkal #HeartAwarenessWeek #HeartFailureAwareness #Cardiology #HealthCare #PublicHealth #PreventiveScreening #GeneticRisk #DGxCardio #HealthcareInnovation</t>
  </si>
  <si>
    <t>HaystackAnalytics
Feb 12, 13:03</t>
  </si>
  <si>
    <t>Just 1 week to go. Our upcoming webinar, “Redefining Newborn Screening with Genomics,” will spotlight the GUARDIAN study and ongoing research conversations shaping perspectives in newborn screening and early-life genetics. Featuring insights from Dr. Wendy Chung, the session will explore how research-driven approaches continue to inform the future of newborn health. 📅 19th February 2026 ⏰ 5:00 PM IST | 6:30 AM EST 🔗 Register to join the discussion. https://lnkd.in/de4ceU4J Abhimanyuu Nambisan Pranav Godse Shuja A. Rohan S SALVI siddharth sasane Vivek Singh Rathore Mohammad Umair Gitesh Srivastava Namith N Anupama Pradeepkumar Dr Koyel Ghosh Yasmeen Kauser Dr.R D PONMUDI Pharm.D Koushik Koujalagi Rijul Pulikkal Raghu Raaj #NewbornScreening #Genomics #PediatricResearch #GuardianStudy #MedicalGenetics #HealthcareWebinar #EarlyDetection</t>
  </si>
  <si>
    <t>HaystackAnalytics
Feb 12, 14:19</t>
  </si>
  <si>
    <t>Advancing infectious disease diagnostics through meaningful clinical exchange. 🧬 At the Round Table Meet at KMCT Medical College, Dr. Nithin shared insightful perspectives on how NGS-based approaches are enhancing diagnostic precision, reducing turnaround time, and enabling more data-driven clinical decisions. The session also spotlighted the clinical value of infexn® NGS, FLU- NGS, and FEVER- NGS in strengthening precision-led patient care. Abhimanyuu Nambisan Nithin K Rijul Pulikkal #RTM #InfectiousDiseaseDiagnostics #NGS #PrecisionDiagnostics #ClinicalMicrobiology #InfexnNGS #FLUNGS #FeverNGS #HaystackAnalytics #HealthCare #PublicHealth</t>
  </si>
  <si>
    <t>HaystackAnalyticsFeb 13, 13:43</t>
  </si>
  <si>
    <t>Learn from an expert in pediatric genomics. Join our upcoming webinar featuring Dr.Wendy Chung, Chief of Pediatrics at Boston Children’s Hospital, as she shares expert insights from the GUARDIAN Study and discusses how genomics is redefining newborn screening and early clinical care. Date: 19 February 2026 Time: 5:00 PM IST | 6:30 AM EST Register here: https://lnkd.in/de4ceU4J Don’t miss this opportunity to hear directly from an expert shaping the future of newborn health. Abhimanyuu Nambisan Ranjan K. Pranav Godse Rohan S SALVI siddharth sasane Gitesh Srivastava Anupama Pradeepkumar Mohammad Umair Vivek Singh Rathore Rijul Pulikkal Raghu Raaj #PublicHealth #HealthCare #Webinar #Genomics #Pediatrics #NGS</t>
  </si>
  <si>
    <t>HaystackAnalytics
Feb 13, 14:30</t>
  </si>
  <si>
    <t>Ever wondered where antibiotic resistance really grows when no one is watching? It’s not just hospitals or clinics. Vast microbial ecosystems quietly shape the future of antimicrobial resistance — selecting, sharing, and spreading resistance genes in ways most people never consider. This hidden cycle links environment, microbes, and human health more closely than we think. Swipe through to uncover how resistance develops beyond clinical spaces and why understanding these pathways is critical for the future of global health. Abhimanyuu Nambisan Shuja A. siddharth sasane Rohan S SALVI Pranav Godse Mohammad Umair Vivek Singh Rathore Gitesh Srivastava Rijul Pulikkal Raghu Raaj #AntimicrobialResistance #AMR #OneHealth #MicrobialEcology #PublicHealth #GlobalHealth #InfectionControl #Biotech #Healthcare</t>
  </si>
  <si>
    <t>HaystackAnalytics
Feb 14, 08:40</t>
  </si>
  <si>
    <t>Only 5 days to go. Join our upcoming webinar on “GUARDIAN: The New Newborn Screening” — an expert conversation on how genomics is reshaping early detection in newborn care. Featuring speaker Dr.Wendy Chung, Chief of Pediatrics at Boston Children’s Hospital, in discussion with moderator Dr. Aparna Bhanushali, Director of Medical Genetics at HaystackAnalytics. 19 February 2026 | 5 PM IST 👉 Register here: https://lnkd.in/de4ceU4J Be part of the dialogue shaping the future of newborn health. Abhimanyuu Nambisan Gitesh Srivastava Pranav Godse Mohammad Umair Vivek Singh Rathore Rijul Pulikkal Raghu Raaj #Webinar #HealthCare #Genomics #Pediatrics #NGS #PublicHealth</t>
  </si>
  <si>
    <t>HaystackAnalytics
Feb 14, 11:19</t>
  </si>
  <si>
    <t>Is it just a delay or something more ? Spinal Muscular Atrophy (SMA) is a genetic neuromuscular disorder that affects movement, breathing, and early development — often before symptoms are clearly recognized. Because SMA is driven by changes in the 𝘚𝘔𝘕1 gene, early genetic screening plays a critical role. It enables timely intervention, informed clinical decisions, and proactive care for better long-term outcomes. Abhimanyuu Nambisan Shuja A. siddharth sasane Rohan S SALVI Gitesh Srivastava Rijul Pulikkal Raghu Raaj Vivek Singh Rathore Mohammad Umair Pranav Godse #GeneticTesting #Genomics #PediatricCare #EarlyDiagnosis #RareDisease #identifi #HealthCare #PublicHealth</t>
  </si>
  <si>
    <t>HaystackAnalytics
Feb 14, 12:01</t>
  </si>
  <si>
    <t>Real-world learning meets real-world impact. At RTM held at Aster Adhar Hospital, Dr Vijay Kulkarni shared practical insights into how NGS is reshaping infectious disease diagnostics — helping clinicians move toward faster, more informed decisions. Conversations like these bridge science and practice, strengthening how we approach patient care through innovation. Abhimanyuu Nambisan Rohan S SALVI #NGS #InfectiousDiseaseDiagnostics #ClinicalMicrobiology #PublicHealth #HealthCare</t>
  </si>
  <si>
    <t>HaystackAnalytics
Feb 14, 13:19</t>
  </si>
  <si>
    <t>RTM | Medicover Hospital, Bangalore At a recent RTM session, clinicians and genomics experts came together to explore how next-generation sequencing is reshaping infectious disease management and enabling more proactive approaches to human health screening. The discussions led by Dr.R D PONMUDI Pharm.D and Dr. Koushik Koujalagi highlighted a shared commitment to translating precision genomics into meaningful clinical action — where faster insights support smarter decisions and better patient outcomes. Abhimanyuu Nambisan Gitesh Srivastava Namith N</t>
  </si>
  <si>
    <t>HaystackAnalytics
Feb 16, 09:59</t>
  </si>
  <si>
    <t>The future of newborn screening is evolving — and genomics is leading the way. Join us for an expert-led webinar on “GUARDIAN: The New Newborn Screening”, where we explore how genomic insights are enabling earlier detection, informed clinical decisions, and better long-term outcomes in pediatric care. Hear from Dr. Wendy Chung, who will share clinical perspectives on advancing newborn screening, in conversation with Dr. Aparna Bhanushali, guiding the discussion toward real-world impact and future possibilities. Date: 19th February 2026 Time: 5:00 PM IST | 6:30 AM EST Register now and be part of the conversation shaping next-generation newborn care: https://lnkd.in/de4ceU4J Abhimanyuu Nambisan Ranjan K. Pranav Godse Mohammad Umair Vivek Singh Rathore Gitesh Srivastava #NewbornScreening #Genomics #PediatricCare #PrecisionMedicine #ClinicalInnovation</t>
  </si>
  <si>
    <t>HaystackAnalytics
Feb 16, 13:19</t>
  </si>
  <si>
    <t>Acing infectious disease diagnosis using NGS 🧬 Dr Koyel Ghosh, Medical Science Liaison led an insightful RTM session, highlighting how infexn® NGS enables comprehensive pathogen detection—empowering clinicians with deeper insights for more informed and effective treatment decisions. Through meaningful clinical exchange and discussion, the session underscored the growing role of genomics in advancing precision-led infectious disease care. Abhimanyuu Nambisan Mohammad Umair Vivek Singh Rathore Inder Rawat Dr. Nidhi G. #RTM #NGS #InfectiousDiseases #Genomics #Healthcare #PublicHealth</t>
  </si>
  <si>
    <t>HaystackAnalytics
Feb 17, 11:08</t>
  </si>
  <si>
    <t>The future of newborn screening is being reshaped by genomics. Join us for “GUARDIAN: The New Newborn Screening” — an expert conversation on how early genomic insights are transforming pediatric care. Hear from Dr. Wendy Chung, moderated by Dr. Aparna Bhanushali, as they explore the clinical impact of next-generation screening. 19 February | 5:00 PM IST Reserve your seat: https://lnkd.in/de4ceU4J #NewbornScreening #Genomics #PediatricCare #PrecisionMedicine #Healthcare #PublicHealth</t>
  </si>
  <si>
    <t>HaystackAnalytics
Feb 17, 14:37</t>
  </si>
  <si>
    <t>Strengthening infectious disease diagnostics through collaboration and shared clinical insight. 🧬 The Round Table Meet at Sundaram Medical Foundation Hospital, Chennai, led by Dr. Poonam Tyagi, brought together healthcare professionals for meaningful clinical exchange on advancing diagnostic approaches. The session highlighted how NGS is enabling faster detection, accurate pathogen insights, and more informed treatment decisions to improve patient outcomes. Abhimanyuu Nambisan Gitesh Srivastava #RTM #InfectiousDiseases #NGS #Publichealth #Healthcare #ClinicalMicrobiology #HaystackAnalytics</t>
  </si>
  <si>
    <t>HaystackAnalytics
Feb 18, 06:50</t>
  </si>
  <si>
    <t>Just 1 day to go! Join us for “GUARDIAN: The New Newborn Screening” — an expert discussion on how genomics is advancing newborn screening and enabling earlier, smarter pediatric care. Featuring Dr.Wendy Chung, moderated by Dr. Aparna Bhanushali, this session explores the real clinical impact of next-generation screening. Date: 19 February Time: 5:00 PM IST | 6:30 AM EST Reserve your seat: https://lnkd.in/de4ceU4J Abhimanyuu Nambisan Ranjan K. Pranav Godse Shuja A. siddharth sasane Mohammad Umair Vivek Singh Rathore Gitesh Srivastava Rijul Pulikkal Raghu Raaj #NewbornScreening #Genomics #PediatricCare #PrecisionMedicine #Pediatrics #Healthcare #PublicHealth</t>
  </si>
  <si>
    <t>HaystackAnalytics
Feb 18, 13:44</t>
  </si>
  <si>
    <t>When rare genetic conditions go unrecognized, the clinical impact can quietly progress. Pompe disease is caused by changes in the 𝘎𝘈𝘈 gene that prevent proper glycogen breakdown, leading to gradual muscle and respiratory impairment. Because symptoms can vary in onset and severity, early genetic identification plays a critical role in guiding timely monitoring, intervention, and long-term care planning. DGx Pediatric Screening supports this early window of insight — helping clinicians and families move from delayed recognition to proactive, informed care. Abhimanyuu Nambisan Pranav Godse Rohan S SALVI siddharth sasane Shuja A. Mohammad Umair Vivek Singh Rathore Gitesh Srivastava Rijul Pulikkal Raghu Raaj #RareDiseases #Genetics #GeneticScreening #PediatricHealth #Genomics #Healthcare #Publichealth</t>
  </si>
  <si>
    <t>HaystackAnalytics
Feb 20, 11:47</t>
  </si>
  <si>
    <t>Transforming infectious disease diagnostics with the power of NGS. At RTM – Aakash Hospital, Chennai, Dr. Koushik Koujalagi shared insights on how advanced genomic technologies are enabling precise pathogen detection and supporting more timely, informed patient care decisions. Driving conversations that shape the future of diagnostics and clinical excellence. Abhimanyuu Nambisan Gitesh Srivastava #NGS #InfectiousDisease #Genomics #Precision #Healthcare #Publichealth</t>
  </si>
  <si>
    <t>HaystackAnalytics
Feb 20, 13:00</t>
  </si>
  <si>
    <t>To the ones who finished Bridgerton before the weekend ended. For the drama, the dresses, and the intrigue, we had a different question in mind. Consider this our Netflix-inspired curiosity. What if the season’s greatest scandal wasn’t whispered across ballrooms… but spreading quietly through society? Scarlet fever once shaped entire eras. Today, it reminds us that infectious threats evolve, and so must detection. With infexn-NGS, we turn outbreaks into insights, bringing genomic precision to modern infectious disease care. Netflix Abhimanyuu Nambisan Pranav Godse Rohan S SALVI siddharth sasane Shuja A. Mohammad Umair Vivek Singh Rathore Dr. Nidhi G. Gopal Singh Gitesh Srivastava Anupama Pradeepkumar Namith N Rijul Pulikkal Raghu Raaj Pranali Dongre Simone Jetha Dr. Simran Malik Dr Koyel Ghosh #Bridgerton #Netflix #Genomics #Diagnostics #InfectiousDisease #HealthCare #PublicHealth</t>
  </si>
  <si>
    <t>HaystackAnalytics
Feb 21, 13:13</t>
  </si>
  <si>
    <t>Precision meets practice at RTM – Manipal Hospital (Bangalore). 🧬 Dr. Shreya Shettar led an insightful session showcasing how advanced genomic approaches are transforming infectious disease management—moving from broad suspicion to precise pathogen identification in a single step. With solutions like infexn® NGS, FLU-NGS, and FEVER-NGS, clinicians are empowered with faster, data-driven insights that support confident and timely treatment decisions. Because in infectious diseases, the right answer—at the right time—changes everything. Gitesh Srivastava Namith N #RTM #NextGenerationSequencing #InfectiousDiseases #PrecisionDiagnostics #Genomics #HealthcareInnovation</t>
  </si>
  <si>
    <t>HaystackAnalytics
Feb 24, 13:40</t>
  </si>
  <si>
    <t>Missed the live session? Catch the replay of “GUARDIAN: The New Newborn Screening” featuring Dr.Wendy Chung and moderator Dr.Aparna Bhanushali as they explore how genomics is advancing newborn screening and improving clinical outcomes. Watch now and stay informed on the evolving landscape of early detection. https://lnkd.in/dM3iAQSE Abhimanyuu Nambisan Ranjan K. Gitesh Srivastava Mohammad Umair Vivek Singh Rathore Rijul Pulikkal Raghu Raaj #WebinarReplay #NewbornScreening #Genomics #PrecisionMedicine #HaystackAnalytics</t>
  </si>
  <si>
    <t>HaystackAnalytics
Feb 24, 14:54</t>
  </si>
  <si>
    <t>Precision genomics in action at KIMS Hospitals,Bangalore. An engaging RTM highlighting the expanding role of NGS across both proactive health and infectious disease diagnostics. Dr.R D PONMUDI Pharm.D shared perspectives on how advanced solutions from the identifi portfolio are enabling earlier risk insights and supporting preventive care. This was complemented by insights from Dr. Koushik Koujalagi, PhD, who discussed how NGS-based solutions are redefining infectious disease diagnostics through precise pathogen detection and timely clinical decision-making. Abhimanyuu Nambisan Gitesh Srivastava Namith N #HealthCare #PublicHealth #infectiousdiseases #infexn #identifi</t>
  </si>
  <si>
    <t>HaystackAnalytics
Feb 24, 15:00</t>
  </si>
  <si>
    <t>Advancing pediatric infectious disease diagnostics through precision genomics. At the CME in association with the Indian Academy Of Pediatrics, Sangli, Dr. Aniket P. Kumbhojkar and Dr Vijay Kulkarni shared clinical insights on pediatric infections, including resistant rickettsial case studies. The discussions underscored the importance of early and accurate diagnosis through an NGS-based diagnostic approach, improving patient outcomes and supporting timely, effective clinical care. Abhimanyuu Nambisan Rohan S SALVI Shailaja Patil Shuja A. #PublicHealth #Healthcare #InfectiousDiseases #Diagnostics #Genomics</t>
  </si>
  <si>
    <t>HaystackAnalytics
Feb 25, 09:04</t>
  </si>
  <si>
    <t>🚀 Ready to Step into the World of Clinical Genomics? Kickstart your career with hands-on Next Generation Sequencing (NGS) Training at HaystackAnalytics, Navi Mumbai! 15 Days Intensive Training Real-time industry exposure Certification on completion PPO opportunity for top performers Selection Date: 05 March 2026 Open for MSc students in Biotechnology, Biochemistry, Molecular Biology &amp; Microbiology. If you're passionate about genomics and want practical lab exposure that sets you apart — this is your chance! 👉 If interested, register on the link provided below : https://lnkd.in/dnJWxvSN Abhimanyuu Nambisan Pranav Godse Rohan S SALVI Shuja A. siddharth sasane Gitesh Srivastava Vivek Singh Rathore Mohammad Umair Rijul Pulikkal Raghu Raaj Ragina N. Sweta Kumari Vedant Mudaliar Nachiket Patil #NGSTraining #NextGenerationSequencing #ClinicalGenomics #LifeScienceCareers #Biotechnology #MolecularBiology #Microbiology #Biochemistry #Genomics #LabTraining #NaviMumbai #HaystackAnalytics</t>
  </si>
  <si>
    <t>HaystackAnalytics
Feb 25, 11:00</t>
  </si>
  <si>
    <t>Advancing clinical care through the power of genomics. At the CME held at Sehgal Neo Hospital, Delhi, Dr Koyel Ghosh highlighted how NGS based solutions are enabling precise infectious disease diagnosis while also supporting early risk detection through Pediatric Screening. These advancements are empowering clinicians with deeper insights—driving earlier interventions, informed decisions, and more proactive patient care. Abhimanyuu Nambisan Vivek Singh Rathore Mohammad Umair Dr. Nidhi G. Inder Rawat #CME #Genomics #InfectiousDiseaseDiagnostics #PrecisionMedicine #PediatricScreening #CardiacScreening #HealthcareInnovation</t>
  </si>
  <si>
    <t>HaystackAnalytics
Feb 25, 13:52</t>
  </si>
  <si>
    <t>Driving meaningful impact, bringing precision diagnostics closer to clinical practice. At PULMOKARN 2026, Bangalore, our team showcased advanced NGS solutions - infexn-NGS, FLU-NGS, FEVER-NGS, and the ICMR-approved Ω TB—highlighting their role in enabling faster, more accurate, and reliable infectious disease diagnosis. Through insightful interactions with leading clinicians, we reinforced how genomic innovations are transforming infectious disease diagnostics and shaping more informed, evidence-driven patient care. A sincere thank you to our dedicated sales and scientific teams for their relentless efforts in making this engagement impactful and successful. Abhimanyuu Nambisan Gitesh Srivastava Namith N Dr. Shreya Shettar #Pulmokarn2026 #NGS #HealthCare #PublicHealth #InfectiousDiseaseDiagnostics #infexn #HealthcareInnovation</t>
  </si>
  <si>
    <t>HaystackAnalytics
Feb 26, 13:41</t>
  </si>
  <si>
    <t>Antimicrobial resistance is not solely mutation-driven — it is increasingly mediated by intracellular genetic exchange. A recent study in Nature Communications highlights genetic crosstalk in 𝘓𝘪𝘴𝘵𝘦𝘳𝘪𝘢 𝘮𝘰𝘯𝘰𝘤𝘺𝘵𝘰𝘨𝘦𝘯𝘦𝘴, demonstrating how plasmids, transposons, and bacteriophages interact within the same cell to exchange antimicrobial resistance genes. This coordinated exchange enables rapid accumulation of multidrug resistance determinants, reinforcing the need for advanced genomic surveillance to better understand and contain emerging resistant pathogens. Abhimanyuu Nambisan Pranav Godse siddharth sasane Shuja A. Rohan S SALVI Gitesh Srivastava Namith N Anupama Pradeepkumar Vivek Singh Rathore Mohammad Umair Dr. Nidhi G. Rijul Pulikkal Raghu Raaj Dr. Simran Malik Dr Koyel Ghosh #AntimicrobialResistance #AMR #Healthcare #ClinicalMicrobiology #InfectiousDiseases #PublicHealth #NextGenerationSequencing #MolecularDiagnostics</t>
  </si>
  <si>
    <t>HaystackAnalytics
Feb 27, 05:42</t>
  </si>
  <si>
    <t>Be the next NGS Game-Changer. Still haven’t registered for the NGS Training Program? It’s time to step beyond theory and into real evaluation, real workflows, and real diagnostics. This 3-stage journey is built to challenge your understanding, sharpen your lab skills, and prepare you for product-oriented genomic testing in a live diagnostics environment. ✔️ Structured knowledge assessment ✔️ Guided hands-on lab immersion ✔️ Performance-based progression ✔️ Pre-placement consideration for top performers Limited seats. Measured performance. Meaningful outcomes. Apply through the link below. https://lnkd.in/dzdRCi6g Abhimanyuu Nambisan Amrutraj Zade Pranav Godse Rohan S SALVI Shuja A. siddharth sasane Gitesh Srivastava Anupama Pradeepkumar Namith N Mohammad Umair Vivek Singh Rathore Dr. Nidhi G. Rijul Pulikkal Raghu Raaj Sweta Kumari #NGSTraining #NextGenerationSequencing #Genomics #MolecularDiagnostics #ClinicalGenomics #HandsOnTraining #BiotechnologyCareers #LifeSciences</t>
  </si>
  <si>
    <t>HaystackAnalytics
Feb 27, 06:45</t>
  </si>
  <si>
    <t>At IMAGICON 2026, Chandigarh, Ms Adrija Mishra, Senior Genetic Counsellor at HaystackAnalytics, presented “Genetic Testing Redefined: The identifi Portfolio” — highlighting how advanced NGS-based diagnostics are enabling earlier insights and more informed clinical decisions.  Her session underscored a shared commitment to transforming genomics into real-world clinical impact through precision-driven diagnostic solutions. A special thank you to our dedicated sales team for their on-ground efforts, seamless coordination, and continued commitment to advancing precision genomics across regions. Abhimanyuu Nambisan Inder Rawat Wajid Zahoor Bhat #IMAGICON2026 #Genomics #HealthCare #PublicHealth #GeneticTesting #ClinicalGenomics</t>
  </si>
  <si>
    <t>HaystackAnalytics
Feb 27, 07:30</t>
  </si>
  <si>
    <t>Redefining infectious disease diagnostics through collaboration and innovation. At KAPICON 2026, Kolhapur, Dr Mahua Das Gupta (Kapoor) shared valuable insights on how advanced NGS-based solutions are reshaping diagnostic strategies and enabling more precise, timely clinical decisions. The event brought together experts united by a common goal—to strengthen infectious disease management and drive better patient outcomes through shared knowledge and clinical excellence. Abhimanyuu Nambisan Rohan S SALVI Dr Vijay Kulkarni Dr. Simran Malik Shailaja Patil Pranav Godse Shuja A. siddharth sasane #KAPICON2026 #InfectiousDiseaseDiagnostics #NGS #ClinicalExcellence #PrecisionMedicine</t>
  </si>
  <si>
    <t>HaystackAnalytics
Feb 28, 06:45</t>
  </si>
  <si>
    <t>Dreams fade when questions remain unanswered. Every moment without clarity reshapes the future. This World Rare Disease Day 2026, early diagnosis can protect more than health. Gaurav Srivastava Anirvan Chatterjee Abhimanyuu Nambisan Rohan S SALVI siddharth sasane Shuja A. Pranav Godse Gitesh Srivastava Mohammad Umair Vivek Singh Rathore Amrutraj Zade Rijul Pulikkal Raghu Raaj Dr. Simran Malik Dr Koyel Ghosh Yasmeen Kauser #RareDiseaseDay2026 #Genomics #HealthCare #Diagnostics #PublicHealth</t>
  </si>
  <si>
    <t>HaystackAnalytics
Feb 28, 10:45</t>
  </si>
  <si>
    <t>Unlocking the power of genomics to drive meaningful clinical impact. At the Round Table Meet, Dr. Yasmeen Kauser shared valuable insights on Exome Sequencing, highlighting how advanced genomic approaches are enabling needful clinical interventions and shaping more timely, personalized patient care. A step forward in transforming genomics from data to decisive action. Abhimanyuu Nambisan Inder Rawat Mohammad Umair Vivek Singh Rathore Dr. Nidhi G. masoom siddiqui #RTM #Genomics #ExomeSequencing #PrecisionMedicine #ClinicalInnovation #Identifi #HealthcareAdvancement</t>
  </si>
  <si>
    <t>HaystackAnalytics
Feb 28, 11:55</t>
  </si>
  <si>
    <t>Strengthening infectious disease diagnostics through meaningful clinical dialogue. At the Round Table Meet, Dr. Simran Malik shared key insights on how NGS-driven solutions are enhancing pathogen detection and supporting timely, well-informed clinical decisions. With infexn®NGS, FLU-NGS, and FEVER-NGS, the focus remains on delivering precision, speed, and clarity in infectious disease management. Abhimanyuu Nambisan Rohan S SALVI Shailaja Patil Suryakant Jat Aqeeb Momin Manipal Hospitals (MHEPL) #RTM #InfectiousDiseaseDiagnostics #NGS #PrecisionMedicine #ClinicalMicrobiology #HealthcareInnovation</t>
  </si>
  <si>
    <t>HaystackAnalytics
Feb 28, 12:19</t>
  </si>
  <si>
    <t>⏳ 5 Days to Go! Ready to become the next NGS Specialist? Join HaystackAnalytics’ 15-day hands-on NGS Training Program with real clinical genomics exposure. ✅ Certification ✅ Practical workflow training ✅ PPO opportunity for top performers 05 March 2026 | Turbhe, Navi Mumbai MSc in Biotechnology / Molecular Biology / Microbiology / Biochemistry can apply. Limited seats — Apply now. https://lnkd.in/dnJWxvSN Abhimanyuu Nambisan Pranav Godse Rohan S SALVI Shuja A. Gitesh Srivastava Mohammad Umair Vivek Singh Rathore Raghu Raaj Rijul Pulikkal Sweta Kumari Ragina N. #NGSTraining #ClinicalGenomics #BiotechnologyCareers #HaystackAnalytics #HealthCare #PublicHealth #Diagnostics</t>
  </si>
  <si>
    <t>HaystackAnalytics
Feb 28, 13:15</t>
  </si>
  <si>
    <t>Insightful discussions. Meaningful collaboration. Real clinical impact. Our Round Table Meet at Ozone Hospitals, Hyderabad focused on advancing infectious disease diagnosis using NGS — bringing together clinicians to explore how precision genomics can enhance pathogen detection and support faster, evidence-based treatment decisions. Led by Dr. Meraj Fatima the session highlighted the growing role of NGS-powered solutions like infexn®, FLU-NGS, and FEVER-NGS in strengthening infectious disease diagnostics. Abhimanyuu Nambisan VijayaKumar Nagavelly Gitesh Srivastava #InfectiousDisease #NGSDiagnostics #HealthCare #PublicHealth #Healthcare #HealthcareInnovation</t>
  </si>
  <si>
    <t>HaystackAnalytics
Mar 02, 07:01</t>
  </si>
  <si>
    <t>⏳ 3 Days to Go! Ready to step into the world of real-time genomics? HaystackAnalytics invites aspiring life science professionals to apply for an intensive 15-day hands-on NGS Training Program designed to bridge theory with clinical application. Practical exposure to clinical genomics workflows Certification upon successful completion PPO opportunity for top performers Selection: 05 March 2026, Turbhe, Navi Mumbai Selection through theory + practical round If you’re an MSc graduate in Biotechnology, Molecular Biology, Microbiology, or Biochemistry — this is your chance to become the next NGS Specialist. Limited seats available. Apply now. https://lnkd.in/dzdRCi6g Abhimanyuu Nambisan Pranav Godse Shuja A. Rohan S SALVI Gitesh Srivastava Mohammad Umair Vivek Singh Rathore Rijul Pulikkal Raghu Raaj Ragina N. Sweta Kumari #NGSTraining #NextGenerationSequencing #GenomicsCareers #MolecularDiagnostics #Biotechnology #ClinicalGenomics #LifeSciences</t>
  </si>
  <si>
    <t>HaystackAnalytics
Mar 03, 09:56</t>
  </si>
  <si>
    <t>⏳ 2 Days to Go | Be the next NGS specialist. As we gear up for our intensive hands-on NGS Workshop, tell us — where do you feel stuck in your NGS journey? This 15-day program is built to bridge the gap between theory and real diagnostic workflows. Vote below 👇 Haven’t registered yet? Apply through the link below https://lnkd.in/dzdRCi6g Limited seats. Real evaluation. #NGSTraining #NextGenerationSequencing #GenomicsWorkshop #ClinicalGenomics #MolecularDiagnostics #BiotechnologyCareers</t>
  </si>
  <si>
    <t>HaystackAnalytics
Mar 04, 08:06</t>
  </si>
  <si>
    <t>Redefining Infectious Disease Detection with NGS At the Round Table Meet at the Western India Institute of Neuroscience, Kolhapur, Dr Vijay Kulkarni led an engaging discussion on advancing infectious disease diagnosis using NGS. The session focused on how precision genomics enables accurate pathogen detection, supports faster clinical decisions, and strengthens patient management in complex infectious cases. Abhimanyuu Nambisan Rohan S SALVI Shailaja Patil WIINS Hospitals #infexn #NGS #InfectiousDiseases #PublicHealth #HealthCare #ClinicalMicrobiology #HaystackAnalytics</t>
  </si>
  <si>
    <t>HaystackAnalytics
Mar 04, 11:36</t>
  </si>
  <si>
    <t>⏳ Only 1 Day to Go | Last chance to register. Tomorrow, we begin 5 days of structured, hands-on NGS training — from core fundamentals to real sequencing workflows. And for selected participants, the journey continues into an advanced 10-day phase focused on practical, product-oriented genomic diagnostics. If you’ve been thinking about it, this is your moment. Register now. https://lnkd.in/dzdRCi6g Abhimanyuu Nambisan Pranav Godse Rohan S SALVI Shuja A. Gitesh Srivastava Mohammad Umair Vivek Singh Rathore Rijul Pulikkal Raghu Raaj Ragina N. Sweta Kumari #NGSTraining #NextGenerationSequencing #GenomicsWorkshop #HealthCare #PublicHealth #MolecularDiagnostics #ClinicalGenomics #BiotechnologyCareers</t>
  </si>
  <si>
    <t>HaystackAnalytics
Mar 04, 14:16</t>
  </si>
  <si>
    <t>The heart–gut connection is more real than you think. Emerging research suggests your gut microbiome can produce signals that enter the bloodstream and influence inflammation and vascular health — long before symptoms appear. And while microbes send the signals, your genes shape how the body responds. Swipe to explore the science behind the gut–heart axis. Abhimanyuu Nambisan Pranav Godse Rohan S SALVI Shuja A. siddharth sasane Gitesh Srivastava Anupama Pradeepkumar Namith N Vivek Singh Rathore Mohammad Umair Dr. Nidhi G. Rijul Pulikkal Raghu Raaj #GutHeartAxis #CardiovascularHealth #MicrobiomeScience #PreventiveCardiology #Genomics</t>
  </si>
  <si>
    <t>HaystackAnalytics
Mar 08, 05:17</t>
  </si>
  <si>
    <t>Celebrating the women of Haystack — women who question, discover, and lead. Their work, dedication, and expertise continue to drive the science and innovation behind everything we do. Happy Women’s Day. Pranali Dongre Mamta Agarwal Ragina N. Bhakti Lokhande Prakruta Panchal Dr. Simran Malik Simone Jetha Sanchi Shah Aparna Bhanushali Dr Mahua Das Gupta (Kapoor) Dr Koyel Ghosh Sweta Kumari Anupama Pradeepkumar Gaurav Srivastava Anirvan Chatterjee Abhimanyuu Nambisan Rohan S SALVI Shuja A. Gitesh Srivastava Mohammad Umair Vivek Singh Rathore Rijul Pulikkal Raghu Raaj #WomensDay #WomenInScience #WomenInLeadership #HaystackAnalytics</t>
  </si>
  <si>
    <r>
      <t xml:space="preserve">HaystackAnalytics 
</t>
    </r>
    <r>
      <rPr>
        <sz val="10"/>
        <color rgb="FF000000"/>
        <rFont val="Arial"/>
      </rPr>
      <t>Mar 10, 07:51</t>
    </r>
  </si>
  <si>
    <t>Genomic variation plays a critical role in understanding complex diseases and advancing modern diagnostics. Join our upcoming webinar to explore how insights from human genomic variation are helping shape the future of disease diagnostics. Speaker: Dr.Jaya Srivastava, Ph.D., National Institute of Health, United States Date: 17th March 2026 Time: 6:00 PM IST | 8:30 AM ET Moderated by Dr.Shailesh B. Lad, Ph.D., Principal Scientist, HaystackAnalytics 🔗 Register now: https://lnkd.in/dGmtC-DS Abhimanyuu Nambisan Ranjann K. Pranav Godse Rohan S SALVI Gitesh Srivastava Rijul Pulikkal Raghu Raaj Mohammad Umair Vivek Singh Rathore Yasmeen Kauser Dr.R D PONMUDI Pharm.D #Genomics #DiseaseDiagnostics #Webinar #PrecisionMedicine #NGS #GenomicMedicine</t>
  </si>
  <si>
    <t>HaystackAnalytics
Mar 10, 13:47</t>
  </si>
  <si>
    <t>Beneath Antarctic ice, life finds ways to endure. ❄️🧬 From lake sediment in the Schirmacher Oasis, scientists identified 𝘋𝘦𝘪𝘯𝘰𝘤𝘰𝘤𝘤𝘶𝘴 𝘱𝘢𝘯𝘵𝘪𝘢𝘦 , a microbe from a genus known for enduring extreme environmental stress. But this strain revealed something unexpected, even in earth’s most remote environments. Swipe to learn more → Abhimanyuu Nambisan Shuja A. Pranav Godse Rohan S SALVI siddharth sasane Gitesh Srivastava Namith N Anupama Pradeepkumar Mohammad Umair Vivek Singh Rathore Rijul Pulikkal Raghu Raaj Dr Koyel Ghosh Dr. Simran Malik Koushik Koujalagi, PhD #Antarctica #Microbiology #Extremophiles #AMR #ScientificDiscovery #MicrobialWorld #AntarcticResearch</t>
  </si>
  <si>
    <t>HaystackAnalytics
Mar 10, 14:30</t>
  </si>
  <si>
    <t>Shaping the future of infectious disease detection through NGS. At a recent CME conducted at the SP Group of Hospitals, experts discussed how Next-Generation Sequencing (NGS) is transforming the way clinicians detect and manage infectious diseases. Insightful sessions by Dr. Shareek P S and Dr.Aneesh Nair Ph.D highlighted how precise pathogen detection can support faster diagnosis and more confident clinical decisions. Abhimanyuu Nambisan Gitesh Srivastava Namith N Rijul Pulikkal Raghu Raaj #NGS #InfectiousDiseases #ClinicalDiagnostics #PrecisionMedicine #infexn #HaystackAnalytics</t>
  </si>
  <si>
    <t>HaystackAnalytics
Mar 11, 08:42</t>
  </si>
  <si>
    <t>Advances in genomics are transforming the way we understand and diagnose complex diseases. Join our upcoming webinar featuring Dr. Jaya Srivastava, Ph.D. (NIH, USA), to explore how human genomic variation is contributing to the evolution of genomics-based diagnostics. Date:17 March 2026 Time: 6:00 PM IST | 8:30 AM ET 🔗 Register here: https://lnkd.in/dGmtC-DS #Webinar #Genomics #HealthCare #Diagnostic #Research #PublicHealth</t>
  </si>
  <si>
    <t>Webinar</t>
  </si>
  <si>
    <t>HaystackAnalytics
Mar 11, 11:27</t>
  </si>
  <si>
    <t>Expert Talk: Harnessing Human Genomic Variation for Disease Diagnostics We’re excited to host Dr. Jaya Srivastava, Ph.D., a researcher at the National Institutes of Health (USA), for an upcoming free webinar on harnessing human genomic variation to advance disease diagnostics. 🧬 With expertise spanning human genomic variation, complex disease genetics, regulatory genomics, and deep learning approaches in genomics, Dr. Srivastava will discuss key insights into how these fields are shaping our understanding of disease biology and modern diagnostics. Date: 17 March 2026 Time: 6:00 PM IST | 8:30 AM ET Join us for an engaging session exploring how advances in genomics are shaping the future of disease diagnostics. Registration Link: https://lnkd.in/dGmtC-DS Abhimanyuu Nambisan Ranjan K. Gitesh Srivastava Pranav Godse Shuja A. Rohan S SALVI Mohammad Umair Vivek Singh Rathore Rijul Pulikkal Raghu Raaj Shailesh B. Lad, Ph.D. Amrutraj Zade #Genomics #HumanGenomics #PrecisionMedicine #NGS #GeneticResearch #LifeSciences #Bioinformatics #GenomicDiagnostics #Webinar</t>
  </si>
  <si>
    <t>HaystackAnalytics
Mar 11, 14:15</t>
  </si>
  <si>
    <t>Insightful discussions and meaningful exchanges at our recent roundtable at Nirali Hospital. Dr. Simran Malik shared perspectives on how NGS-driven diagnostics are transforming infectious disease detection—enabling precise pathogen identification and supporting faster, more informed clinical decisions. 🧬 From FLU-NGS to FEVER-NGS, the conversation highlighted how genomics can help clinicians move beyond sequential testing toward comprehensive, actionable insights. Abhimanyuu Nambisan Pranav Godse Rohan S SALVI Shuja A. siddharth sasane #NGS #InfectiousDiseaseDiagnostics #GenomicDiagnostics #PrecisionMedicine #ClinicalMicrobiology #HaystackAnalytics #MedicalInnovation #MumbaiEvents</t>
  </si>
  <si>
    <r>
      <t>HaystackAnalytics</t>
    </r>
    <r>
      <rPr>
        <b/>
        <u/>
        <sz val="11"/>
        <color rgb="FF1155CC"/>
        <rFont val="Arial"/>
        <scheme val="minor"/>
      </rPr>
      <t>Mar 12, 11:30</t>
    </r>
  </si>
  <si>
    <r>
      <t xml:space="preserve">🧬 5 Days to Go! Human genomic variation holds critical clues to understanding complex diseases. But how can these insights translate into better diagnostics? Join Dr.Jaya Srivastava, Ph.D., National Institutes of Health, USA, as she shares how advances in genomics are helping redefine disease detection and diagnosis. Date: 17 March 2026 Time: 6:00 PM IST | 8:30 AM ET 🔗 Register now: </t>
    </r>
    <r>
      <rPr>
        <u/>
        <sz val="11"/>
        <color rgb="FF1155CC"/>
        <rFont val="Arial"/>
        <scheme val="minor"/>
      </rPr>
      <t>https://lnkd.in/dGmtC-DS</t>
    </r>
    <r>
      <rPr>
        <sz val="11"/>
        <rFont val="Arial"/>
        <scheme val="minor"/>
      </rPr>
      <t xml:space="preserve"> Abhimanyuu Nambisan Rohan S SALVI Shuja A. siddharth sasane Gitesh Srivastava Vivek Singh Rathore Mohammad Umair Rijul Pulikkal Raghu Raaj Shailesh B. Lad, Ph.D. Amrutraj Zade #Genomics #PrecisionMedicine #Diagnostics #NGS #HumanGenomics #Webinar</t>
    </r>
  </si>
  <si>
    <r>
      <t xml:space="preserve">HaystackAnalytics
</t>
    </r>
    <r>
      <rPr>
        <u/>
        <sz val="11"/>
        <color rgb="FF1155CC"/>
        <rFont val="Arial"/>
        <scheme val="minor"/>
      </rPr>
      <t>Mar 12, 14:06</t>
    </r>
  </si>
  <si>
    <r>
      <t xml:space="preserve">HaystackAnalytics
</t>
    </r>
    <r>
      <rPr>
        <u/>
        <sz val="11"/>
        <color rgb="FF1155CC"/>
        <rFont val="Arial"/>
        <scheme val="minor"/>
      </rPr>
      <t>Mar 12, 14:25</t>
    </r>
  </si>
  <si>
    <r>
      <t xml:space="preserve">HaystackAnalytics
</t>
    </r>
    <r>
      <rPr>
        <u/>
        <sz val="11"/>
        <color rgb="FF1155CC"/>
        <rFont val="Arial"/>
        <scheme val="minor"/>
      </rPr>
      <t>Mar 13, 13:11</t>
    </r>
  </si>
  <si>
    <r>
      <t xml:space="preserve">HaystackAnalytics
</t>
    </r>
    <r>
      <rPr>
        <u/>
        <sz val="11"/>
        <color rgb="FF1155CC"/>
        <rFont val="Arial"/>
        <scheme val="minor"/>
      </rPr>
      <t>Mar 13, 14:28</t>
    </r>
  </si>
  <si>
    <r>
      <t xml:space="preserve">Infectious disease diagnostics today are often fragmented, culture-dependent, and time-consuming — delaying critical clinical decisions. Not anymore. Offer the most advanced infection diagnostics — directly from your own facility. With the infexn® Genomic Centre of Excellence (GCE) model, hospitals and laboratories can upgrade their existing molecular labs into fully NGS-enabled infection diagnostics centres — bringing comprehensive, culture-free pathogen detection to your patients in just 24 hours. ✅ Complete technology, infrastructure &amp; sequencing setup. ✅ Automated genome analysis — no outsourcing, no delays. ✅ Flexible sample-based partnership tiers  ✅ End-to-end training, marketing &amp; operations support Upgrade your lab. Become the pioneer of infection diagnostics in your region. For GCE partnership inquiries: +91 88288 31393 </t>
    </r>
    <r>
      <rPr>
        <u/>
        <sz val="11"/>
        <color rgb="FF1155CC"/>
        <rFont val="Arial"/>
        <scheme val="minor"/>
      </rPr>
      <t>infexn@haystackanalytics.in</t>
    </r>
    <r>
      <rPr>
        <sz val="11"/>
        <rFont val="Arial"/>
        <scheme val="minor"/>
      </rPr>
      <t xml:space="preserve"> Gaurav Srivastava Anirvan Chatterjee Dr Mahua Das Gupta (Kapoor) Abhimanyuu Nambisan Inder Rawat Gitesh Srivastava Pranav Godse Rohan S SALVI Shuja A. siddharth sasane Mohammad Umair Vivek Singh Rathore Dr. Nidhi G. Rijul Pulikkal Raghu Raaj Dr. Simran Malik Dr Koyel Ghosh Pranali Dongre #NGS #InfectionDiagnostics #GenomicMedicine #MolecularDiagnostics #Metagenomics #HealthcareInnovation #infexn #HaystackAnalytics #GCE</t>
    </r>
  </si>
  <si>
    <r>
      <t xml:space="preserve">HaystackAnalytics
</t>
    </r>
    <r>
      <rPr>
        <u/>
        <sz val="11"/>
        <color rgb="FF1155CC"/>
        <rFont val="Arial"/>
        <scheme val="minor"/>
      </rPr>
      <t>Mar 14, 07:02</t>
    </r>
  </si>
  <si>
    <r>
      <t xml:space="preserve">Human genomic variation plays a critical role in understanding disease mechanisms and improving diagnostic accuracy. Join us for an expert-led webinar on “Harnessing Human Genomic Variation to Advance Disease Diagnostics” featuring Dr.Jaya Srivastava, Ph.D. from the The National Institutes of Health, USA, moderated by Dr.Shailesh B. Lad, Ph.D., Prinicipal Scientist, HaystackAnalytics Date:17 March 2026 Time: 6:00 PM IST | 8:30 AM ET Register here: </t>
    </r>
    <r>
      <rPr>
        <u/>
        <sz val="11"/>
        <color rgb="FF1155CC"/>
        <rFont val="Arial"/>
        <scheme val="minor"/>
      </rPr>
      <t>https://lnkd.in/dGmtC-DS</t>
    </r>
    <r>
      <rPr>
        <sz val="11"/>
        <rFont val="Arial"/>
        <scheme val="minor"/>
      </rPr>
      <t xml:space="preserve"> #Genomics #PrecisionMedicine #DiseaseDiagnostics #NGS #Webinar</t>
    </r>
  </si>
  <si>
    <r>
      <t xml:space="preserve">HaystackAnalytics
</t>
    </r>
    <r>
      <rPr>
        <u/>
        <sz val="11"/>
        <color rgb="FF1155CC"/>
        <rFont val="Arial"/>
        <scheme val="minor"/>
      </rPr>
      <t>Mar 15, 06:28</t>
    </r>
  </si>
  <si>
    <r>
      <t xml:space="preserve">A Leap Forward in Our Journey The recent feature in Tech in Asia highlights an important milestone for HaystackAnalytics as we continue to build and scale genomics-based solutions for infectious disease diagnostics. This moment reflects the growing momentum behind our efforts to harness next-generation sequencing to improve clinical outcomes, support doctors and clinicians with deeper insights, and ultimately enable better patient care. Each step forward brings us closer to our vision of making genomics-driven diagnostics accessible and deployable at scale, enabling advanced genomic technologies to play a larger role in everyday clinical practice. Read the full story: </t>
    </r>
    <r>
      <rPr>
        <u/>
        <sz val="11"/>
        <color rgb="FF1155CC"/>
        <rFont val="Arial"/>
        <scheme val="minor"/>
      </rPr>
      <t>https://lnkd.in/dfFwj3vF</t>
    </r>
    <r>
      <rPr>
        <sz val="11"/>
        <rFont val="Arial"/>
        <scheme val="minor"/>
      </rPr>
      <t xml:space="preserve"> Gaurav Srivastava Anirvan Chatterjee Abhimanyuu Nambisan Pranav Godse Rohan S SALVI Shuja A. siddharth sasane Gitesh Srivastava Mohammad Umair Vivek Singh Rathore Rijul Pulikkal Raghu Raaj Rachel Chitra (David) #Genomics #InfectiousDiseases #NGS #PrecisionMedicine #MolecularDiagnostics #HealthcareInnovation #GenomicDiagnostics #NextGenerationSequencing #HealthCare #PublicHealth</t>
    </r>
  </si>
  <si>
    <r>
      <t xml:space="preserve">HaystackAnalytics
</t>
    </r>
    <r>
      <rPr>
        <u/>
        <sz val="11"/>
        <color rgb="FF1155CC"/>
        <rFont val="Arial"/>
        <scheme val="minor"/>
      </rPr>
      <t>Mar 16, 06:44</t>
    </r>
  </si>
  <si>
    <r>
      <t xml:space="preserve">HaystackAnalytics
</t>
    </r>
    <r>
      <rPr>
        <u/>
        <sz val="11"/>
        <color rgb="FF1155CC"/>
        <rFont val="Arial"/>
        <scheme val="minor"/>
      </rPr>
      <t>Mar 16, 08:06</t>
    </r>
  </si>
  <si>
    <r>
      <t xml:space="preserve">⏳ Just 1 Day to Go! Join us tomorrow for an engaging webinar on Harnessing Human Genomic Variation to Advance Disease Diagnostics. Hear from Dr.Jaya Srivastava, Ph.D. of the National Institutes of Health as she shares insights into how genomic variation is shaping the future of disease diagnostics. The session will be moderated by Dr. Shailesh B. Lad, Ph.D., Principal Scientist, HaystackAnalytics. Date: 17 March 2026 Time: 6:00 PM IST | 8:30 AM ET 🔗 Secure your spot now: </t>
    </r>
    <r>
      <rPr>
        <u/>
        <sz val="11"/>
        <color rgb="FF1155CC"/>
        <rFont val="Arial"/>
        <scheme val="minor"/>
      </rPr>
      <t>https://lnkd.in/dGmtC-DS</t>
    </r>
    <r>
      <rPr>
        <sz val="11"/>
        <rFont val="Arial"/>
        <scheme val="minor"/>
      </rPr>
      <t xml:space="preserve"> Abhimanyuu Nambisan Gitesh Srivastava Shuja A. Rohan S SALVI siddharth sasane Mohammad Umair Vivek Singh Rathore Rijul Pulikkal Raghu Raaj Ranjan K. #Genomics #PrecisionMedicine #DiseaseDiagnostics #NGS #Webinar</t>
    </r>
  </si>
  <si>
    <r>
      <t xml:space="preserve">HaystackAnalytics
</t>
    </r>
    <r>
      <rPr>
        <u/>
        <sz val="11"/>
        <color rgb="FF1155CC"/>
        <rFont val="Arial"/>
        <scheme val="minor"/>
      </rPr>
      <t>Mar 16, 14:41</t>
    </r>
  </si>
  <si>
    <r>
      <t xml:space="preserve">HaystackAnalytics
</t>
    </r>
    <r>
      <rPr>
        <u/>
        <sz val="11"/>
        <color rgb="FF1155CC"/>
        <rFont val="Arial"/>
        <scheme val="minor"/>
      </rPr>
      <t>Mar 18, 11:38</t>
    </r>
  </si>
  <si>
    <r>
      <t xml:space="preserve">HaystackAnalytics
</t>
    </r>
    <r>
      <rPr>
        <u/>
        <sz val="11"/>
        <color rgb="FF1155CC"/>
        <rFont val="Arial"/>
        <scheme val="minor"/>
      </rPr>
      <t>Mar 18, 12:30</t>
    </r>
  </si>
  <si>
    <r>
      <t xml:space="preserve">HaystackAnalytics
</t>
    </r>
    <r>
      <rPr>
        <u/>
        <sz val="11"/>
        <color rgb="FF1155CC"/>
        <rFont val="Arial"/>
        <scheme val="minor"/>
      </rPr>
      <t>Mar 20, 13:57</t>
    </r>
  </si>
  <si>
    <r>
      <t xml:space="preserve">Step in. Stand out. Get hired. 🚀 The world of advanced genomics is evolving fast—and so are the opportunities within it. Join our Learn &amp; Grow Program designed to give you: A clear understanding of NGS and its real-world impact Expert-led learning sessions An interactive assessment that could open doors to your next career move To make it easier for you, we’re hosting 3 sessions at different time slots—pick what works best for you 👇 Session 1: </t>
    </r>
    <r>
      <rPr>
        <u/>
        <sz val="11"/>
        <color rgb="FF1155CC"/>
        <rFont val="Arial"/>
        <scheme val="minor"/>
      </rPr>
      <t>https://lnkd.in/dGqBHj6R</t>
    </r>
    <r>
      <rPr>
        <sz val="11"/>
        <rFont val="Arial"/>
        <scheme val="minor"/>
      </rPr>
      <t xml:space="preserve"> Session 2: </t>
    </r>
    <r>
      <rPr>
        <u/>
        <sz val="11"/>
        <color rgb="FF1155CC"/>
        <rFont val="Arial"/>
        <scheme val="minor"/>
      </rPr>
      <t>https://lnkd.in/djSmSMfJ</t>
    </r>
    <r>
      <rPr>
        <sz val="11"/>
        <rFont val="Arial"/>
        <scheme val="minor"/>
      </rPr>
      <t xml:space="preserve"> Session 3: </t>
    </r>
    <r>
      <rPr>
        <u/>
        <sz val="11"/>
        <color rgb="FF1155CC"/>
        <rFont val="Arial"/>
        <scheme val="minor"/>
      </rPr>
      <t>https://lnkd.in/dUEPG97y</t>
    </r>
    <r>
      <rPr>
        <sz val="11"/>
        <rFont val="Arial"/>
        <scheme val="minor"/>
      </rPr>
      <t xml:space="preserve"> Date: 25th March 2026 Venue: Online (Zoom) If you’re from a life sciences background and looking to break into genomics, this is your chance. Abhimanyuu Nambisan Ragina N. Gitesh Srivastava Pranav Godse Rohan S SALVI Shuja A. Vivek Singh Rathore Inder Rawat Rijul Pulikkal Raghu Raaj Amrutraj Zade Shailesh B. Lad, Ph.D. #Genomics #NGS #NextGenerationSequencing #Biotechnology #LifeSciences #MolecularBiology #Microbiology #BiotechCareers #Hiring #Students #Freshers #HaystackAnalytics</t>
    </r>
  </si>
  <si>
    <r>
      <t xml:space="preserve">HaystackAnalytics
</t>
    </r>
    <r>
      <rPr>
        <u/>
        <sz val="11"/>
        <color rgb="FF1155CC"/>
        <rFont val="Arial"/>
        <scheme val="minor"/>
      </rPr>
      <t>Mar 23, 12:29</t>
    </r>
  </si>
  <si>
    <r>
      <t xml:space="preserve">Missed our webinar? Here’s your chance to catch the replay. Watch the full session on “Harnessing Human Genomic Variation to Advance Disease Diagnostics” featuring Dr. Jaya Srivastava, Ph.D. from the The National Institutes of Health, moderated by Dr. Shailesh B. Lad, Ph.D. Gain insights into how genomic variations are shaping the future of disease diagnostics. 🎥 Watch now: </t>
    </r>
    <r>
      <rPr>
        <u/>
        <sz val="11"/>
        <color rgb="FF1155CC"/>
        <rFont val="Arial"/>
        <scheme val="minor"/>
      </rPr>
      <t>https://lnkd.in/dvmAXpXF</t>
    </r>
    <r>
      <rPr>
        <sz val="11"/>
        <rFont val="Arial"/>
        <scheme val="minor"/>
      </rPr>
      <t xml:space="preserve"> Abhimanyuu Nambisan Pranav Godse Rohan S SALVI Gitesh Srivastava Vivek Singh Rathore #Genomics #NGS #PrecisionMedicine #DiseaseDiagnostics #HealthCare #PublicHealth</t>
    </r>
  </si>
  <si>
    <r>
      <t xml:space="preserve">HaystackAnalytics
</t>
    </r>
    <r>
      <rPr>
        <u/>
        <sz val="11"/>
        <color rgb="FF1155CC"/>
        <rFont val="Arial"/>
        <scheme val="minor"/>
      </rPr>
      <t>Mar 23, 13:01</t>
    </r>
  </si>
  <si>
    <r>
      <t xml:space="preserve">HaystackAnalytics
</t>
    </r>
    <r>
      <rPr>
        <u/>
        <sz val="11"/>
        <color rgb="FF1155CC"/>
        <rFont val="Arial"/>
        <scheme val="minor"/>
      </rPr>
      <t>Mar 23, 14:00</t>
    </r>
  </si>
  <si>
    <r>
      <t xml:space="preserve">HaystackAnalytics
</t>
    </r>
    <r>
      <rPr>
        <u/>
        <sz val="11"/>
        <color rgb="FF1155CC"/>
        <rFont val="Arial"/>
        <scheme val="minor"/>
      </rPr>
      <t>Mar 24, 09:27</t>
    </r>
  </si>
  <si>
    <r>
      <t xml:space="preserve">Step into the world of Advanced Genomics and explore how Next-Generation Sequencing is transforming healthcare and research. Join our Learn &amp; Grow Program to understand NGS, its real-world applications, and how you can build your career in this rapidly evolving field. Date: 25 March 2026 Time: 2:30 PM Venue: Online (Zoom) Limited spots available. Register now to take the next step in your genomics journey. Registration Link: </t>
    </r>
    <r>
      <rPr>
        <u/>
        <sz val="11"/>
        <color rgb="FF1155CC"/>
        <rFont val="Arial"/>
        <scheme val="minor"/>
      </rPr>
      <t>https://lnkd.in/d2xm4fqF</t>
    </r>
    <r>
      <rPr>
        <sz val="11"/>
        <rFont val="Arial"/>
        <scheme val="minor"/>
      </rPr>
      <t xml:space="preserve"> Abhimanyuu Nambisan siddharth sasane Shuja A. Pranav Godse Rohan S SALVI Gitesh Srivastava Anupama PradeepkumarNamith N Vivek Singh Rathore Ragina N. Sweta Kumari #Genomics #NextGenerationSequencing #NGS #Biotechnology #LifeSciences #MolecularBiology #Microbiology #BiotechCareers #HaystackAnalytics #LearnAndGrow</t>
    </r>
  </si>
  <si>
    <r>
      <t xml:space="preserve">HaystackAnalytics
</t>
    </r>
    <r>
      <rPr>
        <u/>
        <sz val="11"/>
        <color rgb="FF1155CC"/>
        <rFont val="Arial"/>
        <scheme val="minor"/>
      </rPr>
      <t>Mar 24, 13:08</t>
    </r>
  </si>
  <si>
    <r>
      <t xml:space="preserve">HaystackAnalytics
</t>
    </r>
    <r>
      <rPr>
        <u/>
        <sz val="11"/>
        <color rgb="FF1155CC"/>
        <rFont val="Arial"/>
        <scheme val="minor"/>
      </rPr>
      <t>Mar 25, 12:31</t>
    </r>
  </si>
  <si>
    <r>
      <t xml:space="preserve">HaystackAnalytics
</t>
    </r>
    <r>
      <rPr>
        <u/>
        <sz val="11"/>
        <color rgb="FF1155CC"/>
        <rFont val="Arial"/>
        <scheme val="minor"/>
      </rPr>
      <t>Mar 26, 07:33</t>
    </r>
  </si>
  <si>
    <r>
      <t xml:space="preserve">HaystackAnalytics
</t>
    </r>
    <r>
      <rPr>
        <u/>
        <sz val="11"/>
        <color rgb="FF1155CC"/>
        <rFont val="Arial"/>
        <scheme val="minor"/>
      </rPr>
      <t>Mar 26, 13:15</t>
    </r>
  </si>
  <si>
    <r>
      <t xml:space="preserve">HaystackAnalytics
</t>
    </r>
    <r>
      <rPr>
        <u/>
        <sz val="11"/>
        <color rgb="FF1155CC"/>
        <rFont val="Arial"/>
        <scheme val="minor"/>
      </rPr>
      <t>Mar 27, 10:29</t>
    </r>
  </si>
  <si>
    <r>
      <t xml:space="preserve">HaystackAnalytics
</t>
    </r>
    <r>
      <rPr>
        <u/>
        <sz val="11"/>
        <color rgb="FF1155CC"/>
        <rFont val="Arial"/>
        <scheme val="minor"/>
      </rPr>
      <t>Mar 28, 10:19</t>
    </r>
  </si>
  <si>
    <r>
      <t xml:space="preserve">HaystackAnalytics
</t>
    </r>
    <r>
      <rPr>
        <u/>
        <sz val="11"/>
        <color rgb="FF1155CC"/>
        <rFont val="Arial"/>
        <scheme val="minor"/>
      </rPr>
      <t>Mar 28, 11:00</t>
    </r>
  </si>
  <si>
    <r>
      <t xml:space="preserve">HaystackAnalytics
</t>
    </r>
    <r>
      <rPr>
        <u/>
        <sz val="11"/>
        <color rgb="FF1155CC"/>
        <rFont val="Arial"/>
        <scheme val="minor"/>
      </rPr>
      <t>Mar 28, 12:14</t>
    </r>
  </si>
  <si>
    <r>
      <t xml:space="preserve">HaystackAnalytics
</t>
    </r>
    <r>
      <rPr>
        <u/>
        <sz val="11"/>
        <color rgb="FF1155CC"/>
        <rFont val="Arial"/>
        <scheme val="minor"/>
      </rPr>
      <t>Mar 31, 07:35</t>
    </r>
  </si>
  <si>
    <r>
      <t xml:space="preserve">HaystackAnalytics
</t>
    </r>
    <r>
      <rPr>
        <u/>
        <sz val="11"/>
        <color rgb="FF1155CC"/>
        <rFont val="Arial"/>
        <scheme val="minor"/>
      </rPr>
      <t>Apr 01, 06:41</t>
    </r>
  </si>
  <si>
    <r>
      <t xml:space="preserve">HaystackAnalytics
</t>
    </r>
    <r>
      <rPr>
        <u/>
        <sz val="11"/>
        <color rgb="FF1155CC"/>
        <rFont val="Arial"/>
        <scheme val="minor"/>
      </rPr>
      <t>Apr 01, 13:26</t>
    </r>
  </si>
  <si>
    <r>
      <t xml:space="preserve">HaystackAnalytics
</t>
    </r>
    <r>
      <rPr>
        <u/>
        <sz val="11"/>
        <color rgb="FF1155CC"/>
        <rFont val="Arial"/>
        <scheme val="minor"/>
      </rPr>
      <t>Apr 02, 07:22</t>
    </r>
  </si>
  <si>
    <r>
      <t xml:space="preserve">HaystackAnalytics
</t>
    </r>
    <r>
      <rPr>
        <u/>
        <sz val="11"/>
        <color rgb="FF1155CC"/>
        <rFont val="Arial"/>
        <scheme val="minor"/>
      </rPr>
      <t>Apr 04, 13:15</t>
    </r>
  </si>
  <si>
    <r>
      <t xml:space="preserve">HaystackAnalytics
</t>
    </r>
    <r>
      <rPr>
        <u/>
        <sz val="11"/>
        <color rgb="FF1155CC"/>
        <rFont val="Arial"/>
        <scheme val="minor"/>
      </rPr>
      <t>Apr 06, 06:53</t>
    </r>
  </si>
  <si>
    <r>
      <t xml:space="preserve">HaystackAnalytics
</t>
    </r>
    <r>
      <rPr>
        <u/>
        <sz val="11"/>
        <color rgb="FF1155CC"/>
        <rFont val="Arial"/>
        <scheme val="minor"/>
      </rPr>
      <t>Apr 06, 11:34</t>
    </r>
  </si>
  <si>
    <r>
      <t xml:space="preserve">Antimicrobial resistance continues to challenge global healthcare — but understanding the mechanisms behind resistance is key to developing better diagnostics and therapies. 🧬 Join us for an insightful webinar on: “Bug-to-Drug: Translating Mechanisms of Antimicrobial Resistance to Diagnostic and Therapeutic Innovation.” Featuring Dr. Ayesha Khan, Associate Director of Clinical Microbiology at UC Irvine Health, moderated by Dr Mahua Das Gupta (Kapoor). Date: 16 April 2026 Time: 5:00 PM (IST) Register now and be part of the conversation shaping the future of infectious disease diagnostics. </t>
    </r>
    <r>
      <rPr>
        <u/>
        <sz val="11"/>
        <color rgb="FF1155CC"/>
        <rFont val="Arial"/>
        <scheme val="minor"/>
      </rPr>
      <t>https://lnkd.in/dwHge3-E</t>
    </r>
    <r>
      <rPr>
        <sz val="11"/>
        <rFont val="Arial"/>
        <scheme val="minor"/>
      </rPr>
      <t xml:space="preserve"> Abhimanyuu Nambisan Pranav Godse Rohan S SALVI siddharth sasane Shuja A. Gitesh Srivastava Vivek Singh Rathore Inder Rawat Rijul Pulikkal Raghu Raaj Amrutraj Zade Dr. Simran Malik Dr Koyel Ghosh #AntimicrobialResistance #AMR #ClinicalMicrobiology #NGS #InfectiousDiseases #Diagnostics #infexn</t>
    </r>
  </si>
  <si>
    <r>
      <t xml:space="preserve">HaystackAnalytics
</t>
    </r>
    <r>
      <rPr>
        <u/>
        <sz val="11"/>
        <color rgb="FF1155CC"/>
        <rFont val="Arial"/>
        <scheme val="minor"/>
      </rPr>
      <t>Apr 06, 14:00</t>
    </r>
  </si>
  <si>
    <r>
      <rPr>
        <sz val="11"/>
        <rFont val="Arial"/>
        <scheme val="minor"/>
      </rPr>
      <t>HaystackAnalytics</t>
    </r>
    <r>
      <rPr>
        <u/>
        <sz val="11"/>
        <color rgb="FF1155CC"/>
        <rFont val="Arial"/>
      </rPr>
      <t>Apr 08, 14:17</t>
    </r>
    <r>
      <rPr>
        <sz val="11"/>
        <rFont val="Arial"/>
        <scheme val="minor"/>
      </rPr>
      <t xml:space="preserve"> </t>
    </r>
  </si>
  <si>
    <r>
      <t xml:space="preserve">HaystackAnalytics
</t>
    </r>
    <r>
      <rPr>
        <u/>
        <sz val="11"/>
        <color rgb="FF1155CC"/>
        <rFont val="Arial"/>
        <scheme val="minor"/>
      </rPr>
      <t>Apr 09, 11:48</t>
    </r>
  </si>
  <si>
    <r>
      <t xml:space="preserve">Antimicrobial resistance is reshaping how we diagnose and treat infections. Join us for an insightful webinar on the topic "Bug-to-Drug: Translating Mechanisms of Antimicrobial Resistance to Diagnostic and Therapeutic Innovation" Date:16 April 2026 Time: 5:00 PM IST Speaker: Dr. Ayesha Khan, Associate Director of Clinical Microbiology, UC Irvine Health Moderated by Dr Mahua Das Gupta (Kapoor), Director – Medical Affairs (Infectious Diseases), HaystackAnalytics. Save your seat and be part of the conversation shaping the future of infectious disease diagnostics. 🔗 Register now. </t>
    </r>
    <r>
      <rPr>
        <u/>
        <sz val="11"/>
        <color rgb="FF1155CC"/>
        <rFont val="Arial"/>
        <scheme val="minor"/>
      </rPr>
      <t>https://lnkd.in/dwHge3-E</t>
    </r>
    <r>
      <rPr>
        <sz val="11"/>
        <rFont val="Arial"/>
        <scheme val="minor"/>
      </rPr>
      <t xml:space="preserve"> Abhimanyuu Nambisan Pranav Godse Rohan S SALVI Shuja A. siddharth sasane Gitesh Srivastava Namith N Rijul Pulikkal Raghu Raaj Dr Koyel Ghosh Dr. Simran Malik #infexn #NGS #AntimicrobialResistance #Diagnostics #ClinicalMicrobiology #Webinar</t>
    </r>
  </si>
  <si>
    <r>
      <t xml:space="preserve">HaystackAnalytics
</t>
    </r>
    <r>
      <rPr>
        <u/>
        <sz val="11"/>
        <color rgb="FF1155CC"/>
        <rFont val="Arial"/>
        <scheme val="minor"/>
      </rPr>
      <t>Apr 10, 12:34</t>
    </r>
  </si>
  <si>
    <r>
      <t xml:space="preserve">Infectious disease diagnostics has long relied on conventional approaches — but is it time for a change? Join us for an insightful webinar as DR ABDUL GHAFUR, Senior Consultant in Infectious Diseases at Apollo Hospitals, explores evolving challenges in pathogen detection and the future of diagnostics. Topic: Do infectious disease diagnostics need a revamping? Moderated by Dr Mahua Das Gupta (Kapoor), Director – Medical Affairs, HaystackAnalytics. Date: 20 April 2026 Time: 6:00 PM IST Register with the link below: </t>
    </r>
    <r>
      <rPr>
        <u/>
        <sz val="11"/>
        <color rgb="FF1155CC"/>
        <rFont val="Arial"/>
        <scheme val="minor"/>
      </rPr>
      <t>https://lnkd.in/d6r7QJ_p</t>
    </r>
    <r>
      <rPr>
        <sz val="11"/>
        <rFont val="Arial"/>
        <scheme val="minor"/>
      </rPr>
      <t xml:space="preserve"> Abhimanyuu Nambisan Ranjan K. Rohan S SALVI Shuja A. siddharth sasane Gitesh Srivastava Pranav Godse Rijul Pulikkal Raghu Raaj Dr. Simran Malik Dr Koyel Ghosh Vivek Singh Rathore #Healthcare #PublicHealth #Diagnostics #InfectiousDiseases #Infection #genomics</t>
    </r>
  </si>
  <si>
    <r>
      <t xml:space="preserve">HaystackAnalytics
</t>
    </r>
    <r>
      <rPr>
        <u/>
        <sz val="11"/>
        <color rgb="FF1155CC"/>
        <rFont val="Arial"/>
        <scheme val="minor"/>
      </rPr>
      <t>Apr 11, 06:41</t>
    </r>
  </si>
  <si>
    <r>
      <t xml:space="preserve">Kickstart your career in the fast-growing world of diagnostics 🚀 We’re hiring Management Trainees across Business Development &amp; Business Support roles through a Walk-in Interview in Navi Mumbai. If you’re a fresh graduate ready to learn, grow, and make an impact in healthcare—this is your chance. Date: April 25th, 2026 Time: 11:00 AM onwards Venue: Navi Mumbai From field sales to operations, logistics, HR, and more—explore diverse career paths with us. 🔗 Register now to secure your spot : </t>
    </r>
    <r>
      <rPr>
        <u/>
        <sz val="11"/>
        <color rgb="FF1155CC"/>
        <rFont val="Arial"/>
        <scheme val="minor"/>
      </rPr>
      <t>https://lnkd.in/d8N4TNde</t>
    </r>
    <r>
      <rPr>
        <sz val="11"/>
        <rFont val="Arial"/>
        <scheme val="minor"/>
      </rPr>
      <t xml:space="preserve"> Ragina N. Sweta Kumari Abhimanyuu Nambisan Shuja A. Rohan S SALVI Gitesh Srivastava Rijul Pulikkal Raghu Raaj Vivek Singh Rathore #WalkInInterview #ManagementTrainee #HealthcareCareers #Diagnostics #FreshersOpportunity #NaviMumbaiJobs</t>
    </r>
  </si>
  <si>
    <r>
      <t xml:space="preserve">HaystackAnalytics
</t>
    </r>
    <r>
      <rPr>
        <u/>
        <sz val="11"/>
        <color rgb="FF1155CC"/>
        <rFont val="Arial"/>
        <scheme val="minor"/>
      </rPr>
      <t>Apr 11, 07:45</t>
    </r>
  </si>
  <si>
    <r>
      <t xml:space="preserve">⏳ Only 5 Days to Go! Are you ready to rethink infectious disease diagnostics? Join our upcoming webinar on: Bug-to-Drug: Translating Mechanisms of Antimicrobial Resistance to Diagnostic and Therapeutic Innovation Date:16th April 2026 Time: 5:00 PM (IST) Speaker: Dr. Ayesha Khan, Associate Director of Clinical Microbiology, UC Irvine Health Moderator: Dr Mahua Das Gupta (Kapoor), Director, Medical Affairs (Infectious Diseases), HaystackAnalytics Gain insights into how antimicrobial resistance mechanisms are driving innovation in diagnostics and therapeutics. Register now: </t>
    </r>
    <r>
      <rPr>
        <u/>
        <sz val="11"/>
        <color rgb="FF1155CC"/>
        <rFont val="Arial"/>
        <scheme val="minor"/>
      </rPr>
      <t>https://lnkd.in/dwHge3-E</t>
    </r>
    <r>
      <rPr>
        <sz val="11"/>
        <rFont val="Arial"/>
        <scheme val="minor"/>
      </rPr>
      <t xml:space="preserve"> Abhimanyuu Nambisan Rohan S SALVI Shuja A. siddharth sasane Pranav Godse Gitesh Srivastava Inder Rawat Vivek Singh Rathore Raghu Raaj #infexnNGS #WebinarAlert #AMR #InfectiousDiseases #Diagnostics #NGS #HealthcareInnovation</t>
    </r>
  </si>
  <si>
    <r>
      <t xml:space="preserve">HaystackAnalytics
</t>
    </r>
    <r>
      <rPr>
        <u/>
        <sz val="11"/>
        <color rgb="FF1155CC"/>
        <rFont val="Arial"/>
        <scheme val="minor"/>
      </rPr>
      <t>Apr 11, 09:44</t>
    </r>
  </si>
  <si>
    <r>
      <t xml:space="preserve">HaystackAnalytics
</t>
    </r>
    <r>
      <rPr>
        <u/>
        <sz val="11"/>
        <color rgb="FF1155CC"/>
        <rFont val="Arial"/>
        <scheme val="minor"/>
      </rPr>
      <t>Apr 13, 07:59</t>
    </r>
  </si>
  <si>
    <r>
      <t xml:space="preserve">⏳ Only 3 Days to Go! Antimicrobial resistance is reshaping the future of healthcare—are you ready to stay ahead? 🧬 Join our upcoming webinar on “Bug-to-Drug: Translating Mechanisms of Antimicrobial Resistance to Diagnostic and Therapeutic Innovation” and explore how cutting-edge insights are driving next-gen diagnostics and treatment strategies. Date: 16th April 2026 Time: 5:00 PM (IST) Speaker : Dr. Ayesha Khan, Associate Director of Clinical Microbiology, UC Irvine Health Moderator: Dr Mahua Das Gupta (Kapoor), Director, Medical Affairs (Infectious Diseases), HaystackAnalytics Don’t miss the chance to learn from industry experts and gain actionable insights. Register now &amp; secure your spot! </t>
    </r>
    <r>
      <rPr>
        <u/>
        <sz val="11"/>
        <color rgb="FF1155CC"/>
        <rFont val="Arial"/>
        <scheme val="minor"/>
      </rPr>
      <t>https://lnkd.in/dwHge3-E</t>
    </r>
    <r>
      <rPr>
        <sz val="11"/>
        <rFont val="Arial"/>
        <scheme val="minor"/>
      </rPr>
      <t xml:space="preserve"> Abhimanyuu Nambisan Ranjan K. Pranav Godse Shuja A. siddharth sasane Rohan S SALVI Gitesh Srivastava Rijul Pulikkal Raghu Raaj #Webinar #AntimicrobialResistance #AMR #Diagnostics #HealthcareInnovation #LifeSciences #Microbiology #MedicalResearch</t>
    </r>
  </si>
  <si>
    <r>
      <t xml:space="preserve">HaystackAnalytics
</t>
    </r>
    <r>
      <rPr>
        <u/>
        <sz val="11"/>
        <color rgb="FF1155CC"/>
        <rFont val="Arial"/>
        <scheme val="minor"/>
      </rPr>
      <t>Apr 13, 09:17</t>
    </r>
  </si>
  <si>
    <r>
      <t xml:space="preserve">HaystackAnalytics
</t>
    </r>
    <r>
      <rPr>
        <u/>
        <sz val="11"/>
        <color rgb="FF1155CC"/>
        <rFont val="Arial"/>
        <scheme val="minor"/>
      </rPr>
      <t>Apr 13, 11:30</t>
    </r>
  </si>
  <si>
    <r>
      <t xml:space="preserve">1 week to go! ⏳ Are infectious disease diagnostics due for a revamp? Join us as we dive into the future of diagnostics with cutting-edge insights powered by NGS. Speaker: DR ABDUL GHAFUR, Senior Consultant &amp; Adjunct Professor, Infectious Diseases, Apollo Hospitals, Chennai Moderator: Dr Mahua Das Gupta (Kapoor), Director, Medical Affairs (Infectious Diseases), HaystackAnalytics Date: 20th April 2026 Time: 6:00 PM IST Don’t miss this insightful session—be part of the conversation shaping modern diagnostics. 🔗 Register now : </t>
    </r>
    <r>
      <rPr>
        <u/>
        <sz val="11"/>
        <color rgb="FF1155CC"/>
        <rFont val="Arial"/>
        <scheme val="minor"/>
      </rPr>
      <t>https://lnkd.in/d6r7QJ_p</t>
    </r>
    <r>
      <rPr>
        <sz val="11"/>
        <rFont val="Arial"/>
        <scheme val="minor"/>
      </rPr>
      <t xml:space="preserve"> Abhimanyuu Nambisan Rohan S SALVI siddharth sasane Shuja A. Pranav Godse Ranjan K. Gitesh Srivastava Anupama Pradeepkumar Namith N Rijul Pulikkal Raghu Raaj Inder Rawat Vivek Singh Rathore Dr. Simran Malik Dr Koyel Ghosh #WebinarAlert #InfectiousDiseases #Diagnostics #NGS #NextGenSequencing #ClinicalMicrobiology #Pathology #Microbiology #Healthcare #InfectiousDiseases</t>
    </r>
  </si>
  <si>
    <r>
      <t xml:space="preserve">HaystackAnalytics
</t>
    </r>
    <r>
      <rPr>
        <u/>
        <sz val="11"/>
        <color rgb="FF1155CC"/>
        <rFont val="Arial"/>
        <scheme val="minor"/>
      </rPr>
      <t>Apr 13, 11:56</t>
    </r>
  </si>
  <si>
    <r>
      <t xml:space="preserve">HaystackAnalytics
</t>
    </r>
    <r>
      <rPr>
        <u/>
        <sz val="11"/>
        <color rgb="FF1155CC"/>
        <rFont val="Arial"/>
        <scheme val="minor"/>
      </rPr>
      <t>Apr 13, 13:49</t>
    </r>
  </si>
  <si>
    <r>
      <rPr>
        <sz val="11"/>
        <rFont val="Arial"/>
        <scheme val="minor"/>
      </rPr>
      <t xml:space="preserve">HaystackAnalytics
</t>
    </r>
    <r>
      <rPr>
        <u/>
        <sz val="11"/>
        <color rgb="FF1155CC"/>
        <rFont val="Arial"/>
      </rPr>
      <t>Apr 14, 06:52</t>
    </r>
  </si>
  <si>
    <r>
      <rPr>
        <sz val="11"/>
        <rFont val="Arial"/>
        <scheme val="minor"/>
      </rPr>
      <t xml:space="preserve">HaystackAnalytics
</t>
    </r>
    <r>
      <rPr>
        <u/>
        <sz val="11"/>
        <color rgb="FF1155CC"/>
        <rFont val="Arial"/>
      </rPr>
      <t>Apr 14, 13:26</t>
    </r>
  </si>
  <si>
    <r>
      <t xml:space="preserve">The human gut microbiome is transforming how we understand health, disease, and personalized medicine. 🧬 Join our upcoming webinar on “Advances and Approaches in Human Gut Microbiome Research” featuring Dr. Joseph Selvin, Head of the Department of Microbiology at Pondicherry University. The session will be moderated by Shailesh B. Lad, Ph.D., Principal Scientist at HaystackAnalytics. Date: 23 April 2026 Time: 11:30 AM IST 🔗 Register now and be part of this insightful discussion. </t>
    </r>
    <r>
      <rPr>
        <u/>
        <sz val="11"/>
        <color rgb="FF1155CC"/>
        <rFont val="Arial"/>
        <scheme val="minor"/>
      </rPr>
      <t>https://lnkd.in/dh_8yjrX</t>
    </r>
    <r>
      <rPr>
        <sz val="11"/>
        <rFont val="Arial"/>
        <scheme val="minor"/>
      </rPr>
      <t xml:space="preserve"> Ranjan K. Abhimanyuu Nambisan Rohan S SALVI siddharth sasane Shuja A. Gitesh Srivastava Rijul Pulikkal Raghu Raaj Inder Rawat Amrutraj Zade Pranav Godse Vivek Singh Rathore #Microbiome #GutMicrobiome #LifeSciences #HealthcareInnovation #Microbiology #ScientificResearch #Webinar #Biotech #PrecisionMedicine #ResearchCommunity</t>
    </r>
  </si>
  <si>
    <r>
      <rPr>
        <sz val="11"/>
        <rFont val="Arial"/>
        <scheme val="minor"/>
      </rPr>
      <t xml:space="preserve">HaystackAnalytics
</t>
    </r>
    <r>
      <rPr>
        <u/>
        <sz val="11"/>
        <color rgb="FF1155CC"/>
        <rFont val="Arial"/>
      </rPr>
      <t>Apr 15, 06:07</t>
    </r>
  </si>
  <si>
    <r>
      <t xml:space="preserve">⏳ Only 1 Day to Go! Join Dr. Ayesha Khan for an insightful webinar on “Bug-to-Drug: Translating Mechanisms of Antimicrobial Resistance to Diagnostic and Therapeutic Innovation” and discover how cutting-edge research is shaping next-gen diagnostics and therapies. Date: 16th April 2026 Time: 5:00 PM (IST) Last chance to register—secure your spot now! </t>
    </r>
    <r>
      <rPr>
        <u/>
        <sz val="11"/>
        <color rgb="FF1155CC"/>
        <rFont val="Arial"/>
        <scheme val="minor"/>
      </rPr>
      <t>https://lnkd.in/dwHge3-E</t>
    </r>
    <r>
      <rPr>
        <sz val="11"/>
        <rFont val="Arial"/>
        <scheme val="minor"/>
      </rPr>
      <t xml:space="preserve"> Abhimanyuu Nambisan Rohan S SALVI Gitesh Srivastava Rijul Pulikkal Raghu Raaj Inder Rawat #Webinar #AntimicrobialResistance #AMR #Diagnostics #HealthcareInnovation #LifeSciences #Microbiology #MedicalResearch</t>
    </r>
  </si>
  <si>
    <r>
      <rPr>
        <sz val="11"/>
        <rFont val="Arial"/>
        <scheme val="minor"/>
      </rPr>
      <t xml:space="preserve">HaystackAnalytics
</t>
    </r>
    <r>
      <rPr>
        <u/>
        <sz val="11"/>
        <color rgb="FF1155CC"/>
        <rFont val="Arial"/>
      </rPr>
      <t>Apr 15, 09:33</t>
    </r>
  </si>
  <si>
    <r>
      <rPr>
        <sz val="11"/>
        <rFont val="Arial"/>
        <scheme val="minor"/>
      </rPr>
      <t xml:space="preserve">HaystackAnalytics
</t>
    </r>
    <r>
      <rPr>
        <u/>
        <sz val="11"/>
        <color rgb="FF1155CC"/>
        <rFont val="Arial"/>
      </rPr>
      <t>Apr 15, 12:36</t>
    </r>
  </si>
  <si>
    <r>
      <rPr>
        <sz val="11"/>
        <rFont val="Arial"/>
        <scheme val="minor"/>
      </rPr>
      <t xml:space="preserve">HaystackAnalytics
</t>
    </r>
    <r>
      <rPr>
        <u/>
        <sz val="11"/>
        <color rgb="FF1155CC"/>
        <rFont val="Arial"/>
      </rPr>
      <t>Apr 16, 06:19</t>
    </r>
  </si>
  <si>
    <r>
      <rPr>
        <sz val="11"/>
        <rFont val="Arial"/>
        <scheme val="minor"/>
      </rPr>
      <t xml:space="preserve">HaystackAnalytics
</t>
    </r>
    <r>
      <rPr>
        <u/>
        <sz val="11"/>
        <color rgb="FF1155CC"/>
        <rFont val="Arial"/>
      </rPr>
      <t>Apr 16, 07:15</t>
    </r>
  </si>
  <si>
    <r>
      <t xml:space="preserve">Unlock the next frontier of microbiome science . Join us for an insightful session on “Advances and Approaches in Human Gut Microbiome Research” featuring Dr. Joseph Selvin, HOD, Department of Microbiology, Pondicherry University, and moderated by Dr. Shailesh B. Lad, Ph.D., Principal Scientist, HaystackAnalytics. Date: 23rd April 2026 Time: 11:30 AM (IST) Don’t miss the chance to explore cutting-edge research shaping the future of human health. Register now and be part of the conversation. 🚀 </t>
    </r>
    <r>
      <rPr>
        <u/>
        <sz val="11"/>
        <color rgb="FF1155CC"/>
        <rFont val="Arial"/>
        <scheme val="minor"/>
      </rPr>
      <t>https://lnkd.in/dh_8yjrX</t>
    </r>
    <r>
      <rPr>
        <sz val="11"/>
        <rFont val="Arial"/>
        <scheme val="minor"/>
      </rPr>
      <t xml:space="preserve"> Abhimanyuu Nambisan Rohan S SALVI Pranav Godse Gitesh Srivastava Inder Rawat Amrutraj Zade Yasmeen Kauser Shalabh Saxena Shashank Singh Rijul Pulikkal Raghu Raaj #WebinarAlert #MicrobiomeResearch #GutHealth #NGS #LifeSciences #MolecularBiology #ScientificWebinar #HaystackAnalytics #Microbiology</t>
    </r>
  </si>
  <si>
    <r>
      <rPr>
        <sz val="11"/>
        <rFont val="Arial"/>
        <scheme val="minor"/>
      </rPr>
      <t xml:space="preserve">HaystackAnalytics
</t>
    </r>
    <r>
      <rPr>
        <u/>
        <sz val="11"/>
        <color rgb="FF1155CC"/>
        <rFont val="Arial"/>
      </rPr>
      <t>Apr 16, 14:05</t>
    </r>
  </si>
  <si>
    <r>
      <rPr>
        <sz val="11"/>
        <rFont val="Arial"/>
        <scheme val="minor"/>
      </rPr>
      <t xml:space="preserve">HaystackAnalytics
</t>
    </r>
    <r>
      <rPr>
        <u/>
        <sz val="11"/>
        <color rgb="FF1155CC"/>
        <rFont val="Arial"/>
      </rPr>
      <t>Apr 17, 08:57</t>
    </r>
  </si>
  <si>
    <r>
      <rPr>
        <sz val="11"/>
        <rFont val="Arial"/>
        <scheme val="minor"/>
      </rPr>
      <t xml:space="preserve">HaystackAnalytics
</t>
    </r>
    <r>
      <rPr>
        <u/>
        <sz val="11"/>
        <color rgb="FF1155CC"/>
        <rFont val="Arial"/>
      </rPr>
      <t>Apr 17, 09:25</t>
    </r>
  </si>
  <si>
    <r>
      <t xml:space="preserve">HaystackAnalytics
</t>
    </r>
    <r>
      <rPr>
        <u/>
        <sz val="11"/>
        <color rgb="FF1155CC"/>
        <rFont val="Arial"/>
        <scheme val="minor"/>
      </rPr>
      <t>Apr 17, 11:30</t>
    </r>
  </si>
  <si>
    <r>
      <t xml:space="preserve">3 days to go! ⏳ Are infectious disease diagnostics ready for the future? Join us as we explore the need for innovation and how advanced technologies like NGS are transforming pathogen detection. Speaker: DR ABDUL GHAFUR, Senior Consultant &amp; Adjunct Professor, Infectious Diseases, Apollo Hospitals, Chennai Moderator: Dr Mahua Das Gupta (Kapoor), Director, Medical Affairs – Infectious Diseases, HaystackAnalytics 20th April 2026 | 6:00 PM IST Don’t miss out—secure your spot and be part of the conversation. Register now : </t>
    </r>
    <r>
      <rPr>
        <u/>
        <sz val="11"/>
        <color rgb="FF1155CC"/>
        <rFont val="Arial"/>
        <scheme val="minor"/>
      </rPr>
      <t>https://lnkd.in/d6r7QJ_p</t>
    </r>
    <r>
      <rPr>
        <sz val="11"/>
        <rFont val="Arial"/>
        <scheme val="minor"/>
      </rPr>
      <t xml:space="preserve"> Abhimanyuu Nambisan Ranjan K. Rohan S SALVI Shuja A. Pranav Godse siddharth sasane Gitesh Srivastava Rijul Pulikkal Raghu Raaj Inder Rawat Vivek Singh Rathore Dr. Simran Malik Dr Koyel Ghosh #HealthCare #Diagnostic #Genomics #PublicHealth #InfectiousDiseases #Webinar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</si>
</sst>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quot;:&quot;mm"/>
  </numFmts>
  <fonts count="17">
    <font>
      <sz val="10"/>
      <color rgb="FF000000"/>
      <name val="Arial"/>
      <scheme val="minor"/>
    </font>
    <font>
      <sz val="11"/>
      <color rgb="FF241F21"/>
      <name val="&quot;Source Sans Pro&quot;"/>
    </font>
    <font>
      <sz val="10"/>
      <color theme="1"/>
      <name val="Arial"/>
      <scheme val="minor"/>
    </font>
    <font>
      <b/>
      <u/>
      <sz val="11"/>
      <color rgb="FF0000FF"/>
      <name val="&quot;Source Sans Pro&quot;"/>
    </font>
    <font>
      <u/>
      <sz val="11"/>
      <color rgb="FF0000FF"/>
      <name val="&quot;Source Sans Pro&quot;"/>
    </font>
    <font>
      <u/>
      <sz val="11"/>
      <color rgb="FF0000FF"/>
      <name val="&quot;Source Sans Pro&quot;"/>
    </font>
    <font>
      <b/>
      <sz val="11"/>
      <color theme="1"/>
      <name val="&quot;Source Sans Pro&quot;"/>
    </font>
    <font>
      <sz val="11"/>
      <color rgb="FF241F21"/>
      <name val="Source Sans Pro"/>
    </font>
    <font>
      <u/>
      <sz val="10"/>
      <color rgb="FF0000FF"/>
      <name val="Arial"/>
    </font>
    <font>
      <u/>
      <sz val="10"/>
      <color rgb="FF0000FF"/>
      <name val="Arial"/>
    </font>
    <font>
      <u/>
      <sz val="10"/>
      <color rgb="FF0000FF"/>
      <name val="Arial"/>
    </font>
    <font>
      <u/>
      <sz val="11"/>
      <color rgb="FF0000FF"/>
      <name val="&quot;Source Sans Pro&quot;"/>
    </font>
    <font>
      <sz val="11"/>
      <name val="Arial"/>
      <scheme val="minor"/>
    </font>
    <font>
      <u/>
      <sz val="11"/>
      <color rgb="FF1155CC"/>
      <name val="Arial"/>
    </font>
    <font>
      <u/>
      <sz val="11"/>
      <color rgb="FF1155CC"/>
      <name val="Arial"/>
      <scheme val="minor"/>
    </font>
    <font>
      <b/>
      <u/>
      <sz val="11"/>
      <color rgb="FF1155CC"/>
      <name val="Arial"/>
      <scheme val="minor"/>
    </font>
    <font>
      <sz val="10"/>
      <color rgb="FF000000"/>
      <name val="Arial"/>
    </font>
  </fonts>
  <fills count="5">
    <fill>
      <patternFill patternType="none"/>
    </fill>
    <fill>
      <patternFill patternType="gray125"/>
    </fill>
    <fill>
      <patternFill patternType="solid">
        <fgColor rgb="FFF9F8F7"/>
        <bgColor rgb="FFF9F8F7"/>
      </patternFill>
    </fill>
    <fill>
      <patternFill patternType="solid">
        <fgColor rgb="FFFCFCFB"/>
        <bgColor rgb="FFFCFCFB"/>
      </patternFill>
    </fill>
    <fill>
      <patternFill patternType="solid">
        <fgColor rgb="FFEEEBE8"/>
        <bgColor rgb="FFEEEBE8"/>
      </patternFill>
    </fill>
  </fills>
  <borders count="1">
    <border>
      <left/>
      <right/>
      <top/>
      <bottom/>
      <diagonal/>
    </border>
  </borders>
  <cellStyleXfs count="1">
    <xf numFmtId="0" fontId="0" fillId="0" borderId="0"/>
  </cellStyleXfs>
  <cellXfs count="32">
    <xf numFmtId="0" fontId="0" fillId="0" borderId="0" xfId="0" applyFont="1" applyAlignment="1"/>
    <xf numFmtId="0" fontId="3" fillId="0" borderId="0" xfId="0" applyFont="1" applyAlignment="1">
      <alignment horizontal="left" wrapText="1"/>
    </xf>
    <xf numFmtId="0" fontId="1" fillId="2" borderId="0" xfId="0" applyFont="1" applyFill="1" applyAlignment="1"/>
    <xf numFmtId="0" fontId="1" fillId="2" borderId="0" xfId="0" applyFont="1" applyFill="1" applyAlignment="1">
      <alignment horizontal="right"/>
    </xf>
    <xf numFmtId="3" fontId="1" fillId="2" borderId="0" xfId="0" applyNumberFormat="1" applyFont="1" applyFill="1" applyAlignment="1">
      <alignment horizontal="right"/>
    </xf>
    <xf numFmtId="0" fontId="4" fillId="0" borderId="0" xfId="0" applyFont="1" applyAlignment="1"/>
    <xf numFmtId="0" fontId="1" fillId="3" borderId="0" xfId="0" applyFont="1" applyFill="1" applyAlignment="1">
      <alignment horizontal="right"/>
    </xf>
    <xf numFmtId="3" fontId="1" fillId="3" borderId="0" xfId="0" applyNumberFormat="1" applyFont="1" applyFill="1" applyAlignment="1">
      <alignment horizontal="right"/>
    </xf>
    <xf numFmtId="0" fontId="1" fillId="3" borderId="0" xfId="0" applyFont="1" applyFill="1" applyAlignment="1"/>
    <xf numFmtId="0" fontId="5" fillId="0" borderId="0" xfId="0" applyFont="1" applyAlignment="1">
      <alignment horizontal="left" wrapText="1"/>
    </xf>
    <xf numFmtId="0" fontId="6" fillId="0" borderId="0" xfId="0" applyFont="1" applyAlignment="1">
      <alignment horizontal="left"/>
    </xf>
    <xf numFmtId="0" fontId="7" fillId="4" borderId="0" xfId="0" applyFont="1" applyFill="1" applyAlignment="1"/>
    <xf numFmtId="0" fontId="7" fillId="4" borderId="0" xfId="0" applyFont="1" applyFill="1" applyAlignment="1"/>
    <xf numFmtId="0" fontId="1" fillId="4" borderId="0" xfId="0" applyFont="1" applyFill="1" applyAlignment="1">
      <alignment horizontal="left"/>
    </xf>
    <xf numFmtId="0" fontId="2" fillId="0" borderId="0" xfId="0" applyFont="1"/>
    <xf numFmtId="14" fontId="2" fillId="0" borderId="0" xfId="0" applyNumberFormat="1" applyFont="1"/>
    <xf numFmtId="164" fontId="2" fillId="0" borderId="0" xfId="0" applyNumberFormat="1" applyFont="1"/>
    <xf numFmtId="3" fontId="2" fillId="0" borderId="0" xfId="0" applyNumberFormat="1" applyFont="1"/>
    <xf numFmtId="2" fontId="2" fillId="0" borderId="0" xfId="0" applyNumberFormat="1" applyFont="1"/>
    <xf numFmtId="4" fontId="2" fillId="0" borderId="0" xfId="0" applyNumberFormat="1" applyFont="1"/>
    <xf numFmtId="0" fontId="8" fillId="0" borderId="0" xfId="0" applyFont="1"/>
    <xf numFmtId="0" fontId="9" fillId="0" borderId="0" xfId="0" applyFont="1"/>
    <xf numFmtId="0" fontId="2" fillId="0" borderId="0" xfId="0" applyFont="1"/>
    <xf numFmtId="0" fontId="10" fillId="0" borderId="0" xfId="0" applyFont="1" applyAlignment="1"/>
    <xf numFmtId="14" fontId="2" fillId="0" borderId="0" xfId="0" applyNumberFormat="1" applyFont="1"/>
    <xf numFmtId="20" fontId="2" fillId="0" borderId="0" xfId="0" applyNumberFormat="1" applyFont="1"/>
    <xf numFmtId="14" fontId="2" fillId="0" borderId="0" xfId="0" applyNumberFormat="1" applyFont="1" applyAlignment="1"/>
    <xf numFmtId="20" fontId="2" fillId="0" borderId="0" xfId="0" applyNumberFormat="1" applyFont="1" applyAlignment="1"/>
    <xf numFmtId="0" fontId="2" fillId="0" borderId="0" xfId="0" applyFont="1" applyAlignment="1"/>
    <xf numFmtId="14" fontId="2" fillId="0" borderId="0" xfId="0" applyNumberFormat="1" applyFont="1" applyAlignment="1"/>
    <xf numFmtId="164" fontId="2" fillId="0" borderId="0" xfId="0" applyNumberFormat="1" applyFont="1" applyAlignment="1"/>
    <xf numFmtId="0" fontId="1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instagram.com/p/DUnA28HDYLu/" TargetMode="External"/><Relationship Id="rId13" Type="http://schemas.openxmlformats.org/officeDocument/2006/relationships/hyperlink" Target="https://www.instagram.com/reel/DVSquUHjXDV/" TargetMode="External"/><Relationship Id="rId18" Type="http://schemas.openxmlformats.org/officeDocument/2006/relationships/hyperlink" Target="https://scontent-iad3-2.cdninstagram.com/v/t51.82787-15/621614904_17991553793868818_5940399453182071660_n.webp?stp=dst-jpg_e35_tt6&amp;_nc_cat=100&amp;ccb=7-5&amp;_nc_sid=18de74&amp;efg=eyJlZmdfdGFnIjoiU1RPUlkuYmVzdF9pbWFnZV91cmxnZW4uQzMifQ%3D%3D&amp;_nc_ohc=Z0i2M6UcfhwQ7kNvwGd2AHV&amp;_nc_oc=AdkwNPzRwwVOxGvGh95MbtyAADemgdzxZGixZfZ_sV6f4ZZIgBqR8pqvBvn3e6mFhiU&amp;_nc_zt=23&amp;_nc_ht=scontent-iad3-2.cdninstagram.com&amp;edm=AB9oSrcEAAAA&amp;_nc_gid=ntfVq_EMPvCoB1f3KyfFWg&amp;oh=00_AfouuR97d9Za2m6jrUSAIR3jOtzt0EHnUky35wo2q7gBVw&amp;oe=697E05E0" TargetMode="External"/><Relationship Id="rId26" Type="http://schemas.openxmlformats.org/officeDocument/2006/relationships/hyperlink" Target="https://www.instagram.com/reel/DUumnQLjeF6/" TargetMode="External"/><Relationship Id="rId3" Type="http://schemas.openxmlformats.org/officeDocument/2006/relationships/hyperlink" Target="https://scontent-iad3-1.cdninstagram.com/v/t51.82787-15/625014384_17991905828868818_187509630898093483_n.webp?stp=dst-jpg_e35_tt6&amp;_nc_cat=104&amp;ccb=7-5&amp;_nc_sid=18de74&amp;efg=eyJlZmdfdGFnIjoiU1RPUlkuYmVzdF9pbWFnZV91cmxnZW4uQzMifQ%3D%3D&amp;_nc_ohc=2jLAxfwxfWoQ7kNvwFsCocX&amp;_nc_oc=AdnQgv-61Pxx-oFscqWqH871qOQvV6PlIr79PTqjaIIH_kGHG_PG36P3aMWQBsfZYgc&amp;_nc_zt=23&amp;_nc_ht=scontent-iad3-1.cdninstagram.com&amp;edm=AB9oSrcEAAAA&amp;_nc_gid=ZFjyehwPeZVGKd1kG-FSyg&amp;oh=00_AfqcYOXnoamP_70_tL7odvafEmLFE3p4iMG4nt0PdsKiEQ&amp;oe=69826FBA" TargetMode="External"/><Relationship Id="rId21" Type="http://schemas.openxmlformats.org/officeDocument/2006/relationships/hyperlink" Target="https://www.instagram.com/p/DUVZyTrkZQL/" TargetMode="External"/><Relationship Id="rId34" Type="http://schemas.openxmlformats.org/officeDocument/2006/relationships/hyperlink" Target="https://www.instagram.com/reel/DVlw7fZxXQ6/" TargetMode="External"/><Relationship Id="rId7" Type="http://schemas.openxmlformats.org/officeDocument/2006/relationships/hyperlink" Target="https://www.instagram.com/p/DUdZv5njeSE/" TargetMode="External"/><Relationship Id="rId12" Type="http://schemas.openxmlformats.org/officeDocument/2006/relationships/hyperlink" Target="https://www.instagram.com/p/DU5sijWDSo2/" TargetMode="External"/><Relationship Id="rId17" Type="http://schemas.openxmlformats.org/officeDocument/2006/relationships/hyperlink" Target="https://www.instagram.com/reel/DVlw7fZxXQ6/" TargetMode="External"/><Relationship Id="rId25" Type="http://schemas.openxmlformats.org/officeDocument/2006/relationships/hyperlink" Target="https://www.instagram.com/p/DUnA28HDYLu/" TargetMode="External"/><Relationship Id="rId33" Type="http://schemas.openxmlformats.org/officeDocument/2006/relationships/hyperlink" Target="https://www.instagram.com/p/DVdzHgWDRlm/" TargetMode="External"/><Relationship Id="rId2" Type="http://schemas.openxmlformats.org/officeDocument/2006/relationships/hyperlink" Target="https://www.instagram.com/p/DUGBjP3Dfeh/" TargetMode="External"/><Relationship Id="rId16" Type="http://schemas.openxmlformats.org/officeDocument/2006/relationships/hyperlink" Target="https://www.instagram.com/p/DVdzHgWDRlm/" TargetMode="External"/><Relationship Id="rId20" Type="http://schemas.openxmlformats.org/officeDocument/2006/relationships/hyperlink" Target="https://scontent-iad3-1.cdninstagram.com/v/t51.82787-15/625014384_17991905828868818_187509630898093483_n.webp?stp=dst-jpg_e35_tt6&amp;_nc_cat=104&amp;ccb=7-5&amp;_nc_sid=18de74&amp;efg=eyJlZmdfdGFnIjoiU1RPUlkuYmVzdF9pbWFnZV91cmxnZW4uQzMifQ%3D%3D&amp;_nc_ohc=2jLAxfwxfWoQ7kNvwFsCocX&amp;_nc_oc=AdnQgv-61Pxx-oFscqWqH871qOQvV6PlIr79PTqjaIIH_kGHG_PG36P3aMWQBsfZYgc&amp;_nc_zt=23&amp;_nc_ht=scontent-iad3-1.cdninstagram.com&amp;edm=AB9oSrcEAAAA&amp;_nc_gid=ZFjyehwPeZVGKd1kG-FSyg&amp;oh=00_AfqcYOXnoamP_70_tL7odvafEmLFE3p4iMG4nt0PdsKiEQ&amp;oe=69826FBA" TargetMode="External"/><Relationship Id="rId29" Type="http://schemas.openxmlformats.org/officeDocument/2006/relationships/hyperlink" Target="https://www.instagram.com/p/DU5sijWDSo2/" TargetMode="External"/><Relationship Id="rId1" Type="http://schemas.openxmlformats.org/officeDocument/2006/relationships/hyperlink" Target="https://scontent-iad3-2.cdninstagram.com/v/t51.82787-15/621614904_17991553793868818_5940399453182071660_n.webp?stp=dst-jpg_e35_tt6&amp;_nc_cat=100&amp;ccb=7-5&amp;_nc_sid=18de74&amp;efg=eyJlZmdfdGFnIjoiU1RPUlkuYmVzdF9pbWFnZV91cmxnZW4uQzMifQ%3D%3D&amp;_nc_ohc=Z0i2M6UcfhwQ7kNvwGd2AHV&amp;_nc_oc=AdkwNPzRwwVOxGvGh95MbtyAADemgdzxZGixZfZ_sV6f4ZZIgBqR8pqvBvn3e6mFhiU&amp;_nc_zt=23&amp;_nc_ht=scontent-iad3-2.cdninstagram.com&amp;edm=AB9oSrcEAAAA&amp;_nc_gid=ntfVq_EMPvCoB1f3KyfFWg&amp;oh=00_AfouuR97d9Za2m6jrUSAIR3jOtzt0EHnUky35wo2q7gBVw&amp;oe=697E05E0" TargetMode="External"/><Relationship Id="rId6" Type="http://schemas.openxmlformats.org/officeDocument/2006/relationships/hyperlink" Target="https://www.instagram.com/p/DUVhcPAjRzj/" TargetMode="External"/><Relationship Id="rId11" Type="http://schemas.openxmlformats.org/officeDocument/2006/relationships/hyperlink" Target="https://www.instagram.com/p/DUvIonADXom/" TargetMode="External"/><Relationship Id="rId24" Type="http://schemas.openxmlformats.org/officeDocument/2006/relationships/hyperlink" Target="https://www.instagram.com/p/DUdZv5njeSE/" TargetMode="External"/><Relationship Id="rId32" Type="http://schemas.openxmlformats.org/officeDocument/2006/relationships/hyperlink" Target="https://www.instagram.com/reel/DVc35oSCIUD/" TargetMode="External"/><Relationship Id="rId5" Type="http://schemas.openxmlformats.org/officeDocument/2006/relationships/hyperlink" Target="https://scontent-iad3-1.cdninstagram.com/v/t51.82787-15/626441997_17992492058868818_734259205819995043_n.webp?stp=dst-jpg_e35_tt6&amp;_nc_cat=106&amp;ccb=7-5&amp;_nc_sid=18de74&amp;efg=eyJlZmdfdGFnIjoiU1RPUlkuYmVzdF9pbWFnZV91cmxnZW4uQzMifQ%3D%3D&amp;_nc_ohc=Xg4OY7UhhqcQ7kNvwGZ5-xi&amp;_nc_oc=AdlnIOHJiXdJhJ2OZJ7NXfOCV3ybZdaSgXDF35NKsGBK-vYVmWmckcbcpDBxTa6dqiE&amp;_nc_zt=23&amp;_nc_ht=scontent-iad3-1.cdninstagram.com&amp;edm=AB9oSrcEAAAA&amp;_nc_gid=ere3M21PAnRd312FPyklXw&amp;oh=00_AfvnvjExfRHRSrN0DmxVdIUHxx3SpC8WQxRF0fKuyX4Tww&amp;oe=6989FF48" TargetMode="External"/><Relationship Id="rId15" Type="http://schemas.openxmlformats.org/officeDocument/2006/relationships/hyperlink" Target="https://www.instagram.com/reel/DVc35oSCIUD/" TargetMode="External"/><Relationship Id="rId23" Type="http://schemas.openxmlformats.org/officeDocument/2006/relationships/hyperlink" Target="https://www.instagram.com/p/DUVhcPAjRzj/" TargetMode="External"/><Relationship Id="rId28" Type="http://schemas.openxmlformats.org/officeDocument/2006/relationships/hyperlink" Target="https://www.instagram.com/p/DUvIonADXom/" TargetMode="External"/><Relationship Id="rId10" Type="http://schemas.openxmlformats.org/officeDocument/2006/relationships/hyperlink" Target="https://scontent-iad3-2.cdninstagram.com/o1/v/t2/f2/m78/AQMbjh6g9FbzNE0xqy5NCTtDQxgpfwu1S6vaDJ5oWI6rUYuJUnO6gSRDqHct7DmHvjXy-TYDUQ8DIcg59dqgqCrYN3rgPyV_ppTIshc.mp4?_nc_cat=105&amp;_nc_sid=5e9851&amp;_nc_ht=scontent-iad3-2.cdninstagram.com&amp;_nc_ohc=tKsaal-EiHUQ7kNvwEIBlsR&amp;efg=eyJ2ZW5jb2RlX3RhZyI6Inhwdl9wcm9ncmVzc2l2ZS5JTlNUQUdSQU0uU1RPUlkuQzMuNzIwLmRhc2hfYmFzZWxpbmVfMV92MSIsInhwdl9hc3NldF9pZCI6MTc5OTM0NTcxMDc4Njg4MTgsImFzc2V0X2FnZV9kYXlzIjowLCJ2aV91c2VjYXNlX2lkIjoxMDEwMCwiZHVyYXRpb25fcyI6NjAsInVybGdlbl9zb3VyY2UiOiJ3d3cifQ%3D%3D&amp;ccb=17-1&amp;_nc_gid=DVf7wjmFD1afhArHOiAoxg&amp;edm=AB9oSrcEAAAA&amp;_nc_zt=28&amp;vs=7c6aa85f0c71407b&amp;_nc_vs=HBksFQIYUWlnX3hwdl9wbGFjZW1lbnRfcGVybWFuZW50X3YyLzAzNDkxQTI4QzY5NUI2QzEzNkYxQ0VGRkE5NUVEMDlEX3ZpZGVvX2Rhc2hpbml0Lm1wNBUAAsgBEgAVAhhRaWdfeHB2X3BsYWNlbWVudF9wZXJtYW5lbnRfdjIvQUE0QjZDQkFGRjY5N0FCNkM5NDA1NkEwM0NFMkI3OTNfYXVkaW9fZGFzaGluaXQubXA0FQICyAESACgAGAAbAogHdXNlX29pbAExEnByb2dyZXNzaXZlX3JlY2lwZQExFQAAJqTykLOGvfY_FQIoAkMzLBdATgNT987ZFxgSZGFzaF9iYXNlbGluZV8xX3YxEQB16Adl6J0BAA&amp;oh=00_AfuXe6_0RB2O0oahlmXYmqPEzRosxNYRWhuMUKqiF7Gyyw&amp;oe=69933BB6" TargetMode="External"/><Relationship Id="rId19" Type="http://schemas.openxmlformats.org/officeDocument/2006/relationships/hyperlink" Target="https://www.instagram.com/p/DUGBjP3Dfeh/" TargetMode="External"/><Relationship Id="rId31" Type="http://schemas.openxmlformats.org/officeDocument/2006/relationships/hyperlink" Target="https://scontent-iad3-1.cdninstagram.com/v/t51.82787-15/642615101_17995228736868818_7296365733539986623_n.webp?stp=dst-jpg_e35_tt6&amp;_nc_cat=104&amp;ccb=7-5&amp;_nc_sid=18de74&amp;efg=eyJlZmdfdGFnIjoiU1RPUlkuYmVzdF9pbWFnZV91cmxnZW4uQzIifQ%3D%3D&amp;_nc_ohc=BQJXxpFyvV0Q7kNvwG7PmN-&amp;_nc_oc=AdkVVmGCnoQCVIQvgImsR77-wGIrVa51j9hy2_ZZ7f8qGBo2VxUdQGqUJEWHjCf4Osc&amp;_nc_zt=23&amp;_nc_ht=scontent-iad3-1.cdninstagram.com&amp;edm=AB9oSrcEAAAA&amp;_nc_gid=nSC88LupBnP6v90daMinlg&amp;oh=00_AfxGdwXzrTDmkAeHaJYsOQQg4Zn8uQ6gMKwPz3QVxMpGZg&amp;oe=69AD4756" TargetMode="External"/><Relationship Id="rId4" Type="http://schemas.openxmlformats.org/officeDocument/2006/relationships/hyperlink" Target="https://www.instagram.com/p/DUVZyTrkZQL/" TargetMode="External"/><Relationship Id="rId9" Type="http://schemas.openxmlformats.org/officeDocument/2006/relationships/hyperlink" Target="https://www.instagram.com/reel/DUumnQLjeF6/" TargetMode="External"/><Relationship Id="rId14" Type="http://schemas.openxmlformats.org/officeDocument/2006/relationships/hyperlink" Target="https://scontent-iad3-1.cdninstagram.com/v/t51.82787-15/642615101_17995228736868818_7296365733539986623_n.webp?stp=dst-jpg_e35_tt6&amp;_nc_cat=104&amp;ccb=7-5&amp;_nc_sid=18de74&amp;efg=eyJlZmdfdGFnIjoiU1RPUlkuYmVzdF9pbWFnZV91cmxnZW4uQzIifQ%3D%3D&amp;_nc_ohc=BQJXxpFyvV0Q7kNvwG7PmN-&amp;_nc_oc=AdkVVmGCnoQCVIQvgImsR77-wGIrVa51j9hy2_ZZ7f8qGBo2VxUdQGqUJEWHjCf4Osc&amp;_nc_zt=23&amp;_nc_ht=scontent-iad3-1.cdninstagram.com&amp;edm=AB9oSrcEAAAA&amp;_nc_gid=nSC88LupBnP6v90daMinlg&amp;oh=00_AfxGdwXzrTDmkAeHaJYsOQQg4Zn8uQ6gMKwPz3QVxMpGZg&amp;oe=69AD4756" TargetMode="External"/><Relationship Id="rId22" Type="http://schemas.openxmlformats.org/officeDocument/2006/relationships/hyperlink" Target="https://scontent-iad3-1.cdninstagram.com/v/t51.82787-15/626441997_17992492058868818_734259205819995043_n.webp?stp=dst-jpg_e35_tt6&amp;_nc_cat=106&amp;ccb=7-5&amp;_nc_sid=18de74&amp;efg=eyJlZmdfdGFnIjoiU1RPUlkuYmVzdF9pbWFnZV91cmxnZW4uQzMifQ%3D%3D&amp;_nc_ohc=Xg4OY7UhhqcQ7kNvwGZ5-xi&amp;_nc_oc=AdlnIOHJiXdJhJ2OZJ7NXfOCV3ybZdaSgXDF35NKsGBK-vYVmWmckcbcpDBxTa6dqiE&amp;_nc_zt=23&amp;_nc_ht=scontent-iad3-1.cdninstagram.com&amp;edm=AB9oSrcEAAAA&amp;_nc_gid=ere3M21PAnRd312FPyklXw&amp;oh=00_AfvnvjExfRHRSrN0DmxVdIUHxx3SpC8WQxRF0fKuyX4Tww&amp;oe=6989FF48" TargetMode="External"/><Relationship Id="rId27" Type="http://schemas.openxmlformats.org/officeDocument/2006/relationships/hyperlink" Target="https://scontent-iad3-2.cdninstagram.com/o1/v/t2/f2/m78/AQMbjh6g9FbzNE0xqy5NCTtDQxgpfwu1S6vaDJ5oWI6rUYuJUnO6gSRDqHct7DmHvjXy-TYDUQ8DIcg59dqgqCrYN3rgPyV_ppTIshc.mp4?_nc_cat=105&amp;_nc_sid=5e9851&amp;_nc_ht=scontent-iad3-2.cdninstagram.com&amp;_nc_ohc=tKsaal-EiHUQ7kNvwEIBlsR&amp;efg=eyJ2ZW5jb2RlX3RhZyI6Inhwdl9wcm9ncmVzc2l2ZS5JTlNUQUdSQU0uU1RPUlkuQzMuNzIwLmRhc2hfYmFzZWxpbmVfMV92MSIsInhwdl9hc3NldF9pZCI6MTc5OTM0NTcxMDc4Njg4MTgsImFzc2V0X2FnZV9kYXlzIjowLCJ2aV91c2VjYXNlX2lkIjoxMDEwMCwiZHVyYXRpb25fcyI6NjAsInVybGdlbl9zb3VyY2UiOiJ3d3cifQ%3D%3D&amp;ccb=17-1&amp;_nc_gid=DVf7wjmFD1afhArHOiAoxg&amp;edm=AB9oSrcEAAAA&amp;_nc_zt=28&amp;vs=7c6aa85f0c71407b&amp;_nc_vs=HBksFQIYUWlnX3hwdl9wbGFjZW1lbnRfcGVybWFuZW50X3YyLzAzNDkxQTI4QzY5NUI2QzEzNkYxQ0VGRkE5NUVEMDlEX3ZpZGVvX2Rhc2hpbml0Lm1wNBUAAsgBEgAVAhhRaWdfeHB2X3BsYWNlbWVudF9wZXJtYW5lbnRfdjIvQUE0QjZDQkFGRjY5N0FCNkM5NDA1NkEwM0NFMkI3OTNfYXVkaW9fZGFzaGluaXQubXA0FQICyAESACgAGAAbAogHdXNlX29pbAExEnByb2dyZXNzaXZlX3JlY2lwZQExFQAAJqTykLOGvfY_FQIoAkMzLBdATgNT987ZFxgSZGFzaF9iYXNlbGluZV8xX3YxEQB16Adl6J0BAA&amp;oh=00_AfuXe6_0RB2O0oahlmXYmqPEzRosxNYRWhuMUKqiF7Gyyw&amp;oe=69933BB6" TargetMode="External"/><Relationship Id="rId30" Type="http://schemas.openxmlformats.org/officeDocument/2006/relationships/hyperlink" Target="https://www.instagram.com/reel/DVSquUHjXDV/"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lnkd.in/dyz5Gwhx" TargetMode="External"/><Relationship Id="rId299" Type="http://schemas.openxmlformats.org/officeDocument/2006/relationships/hyperlink" Target="https://lnkd.in/dh_8yjrX" TargetMode="External"/><Relationship Id="rId303" Type="http://schemas.openxmlformats.org/officeDocument/2006/relationships/hyperlink" Target="https://www.linkedin.com/feed/update/urn:li:share:7450840637966348288" TargetMode="External"/><Relationship Id="rId21" Type="http://schemas.openxmlformats.org/officeDocument/2006/relationships/hyperlink" Target="https://www.linkedin.com/feed/update/urn:li:ugcPost:7376231552923353088" TargetMode="External"/><Relationship Id="rId42" Type="http://schemas.openxmlformats.org/officeDocument/2006/relationships/hyperlink" Target="https://www.linkedin.com/feed/update/urn:li:ugcPost:7381564292460048384" TargetMode="External"/><Relationship Id="rId63" Type="http://schemas.openxmlformats.org/officeDocument/2006/relationships/hyperlink" Target="https://lnkd.in/dvR6JQNQ" TargetMode="External"/><Relationship Id="rId84" Type="http://schemas.openxmlformats.org/officeDocument/2006/relationships/hyperlink" Target="https://www.linkedin.com/feed/update/urn:li:ugcPost:7394356888030711808" TargetMode="External"/><Relationship Id="rId138" Type="http://schemas.openxmlformats.org/officeDocument/2006/relationships/hyperlink" Target="https://www.linkedin.com/feed/update/urn:li:ugcPost:7418966952624246784" TargetMode="External"/><Relationship Id="rId159" Type="http://schemas.openxmlformats.org/officeDocument/2006/relationships/hyperlink" Target="https://www.linkedin.com/feed/update/urn:li:share:7424792009875558401" TargetMode="External"/><Relationship Id="rId170" Type="http://schemas.openxmlformats.org/officeDocument/2006/relationships/hyperlink" Target="https://www.linkedin.com/feed/update/urn:li:ugcPost:7427253731622199296" TargetMode="External"/><Relationship Id="rId191" Type="http://schemas.openxmlformats.org/officeDocument/2006/relationships/hyperlink" Target="https://www.linkedin.com/feed/update/urn:li:share:7430578929981124608" TargetMode="External"/><Relationship Id="rId205" Type="http://schemas.openxmlformats.org/officeDocument/2006/relationships/hyperlink" Target="https://www.linkedin.com/feed/update/urn:li:ugcPost:7433033362015014912" TargetMode="External"/><Relationship Id="rId226" Type="http://schemas.openxmlformats.org/officeDocument/2006/relationships/hyperlink" Target="https://www.linkedin.com/feed/update/urn:li:ugcPost:7437417718754185216" TargetMode="External"/><Relationship Id="rId247" Type="http://schemas.openxmlformats.org/officeDocument/2006/relationships/hyperlink" Target="https://www.linkedin.com/feed/update/urn:li:share:7439974046647324672" TargetMode="External"/><Relationship Id="rId107" Type="http://schemas.openxmlformats.org/officeDocument/2006/relationships/hyperlink" Target="https://www.linkedin.com/feed/update/urn:li:ugcPost:7406567587381219328" TargetMode="External"/><Relationship Id="rId268" Type="http://schemas.openxmlformats.org/officeDocument/2006/relationships/hyperlink" Target="https://www.linkedin.com/feed/update/urn:li:ugcPost:7446172888447229952" TargetMode="External"/><Relationship Id="rId289" Type="http://schemas.openxmlformats.org/officeDocument/2006/relationships/hyperlink" Target="https://www.linkedin.com/feed/update/urn:li:ugcPost:7449453620707840000" TargetMode="External"/><Relationship Id="rId11" Type="http://schemas.openxmlformats.org/officeDocument/2006/relationships/hyperlink" Target="https://www.linkedin.com/feed/update/urn:li:ugcPost:7375045033663746048" TargetMode="External"/><Relationship Id="rId32" Type="http://schemas.openxmlformats.org/officeDocument/2006/relationships/hyperlink" Target="https://www.linkedin.com/feed/update/urn:li:share:7380157460336115712" TargetMode="External"/><Relationship Id="rId53" Type="http://schemas.openxmlformats.org/officeDocument/2006/relationships/hyperlink" Target="https://www.linkedin.com/feed/update/urn:li:share:7382652921534033920" TargetMode="External"/><Relationship Id="rId74" Type="http://schemas.openxmlformats.org/officeDocument/2006/relationships/hyperlink" Target="https://www.linkedin.com/feed/update/urn:li:ugcPost:7389645650386128898" TargetMode="External"/><Relationship Id="rId128" Type="http://schemas.openxmlformats.org/officeDocument/2006/relationships/hyperlink" Target="https://www.linkedin.com/feed/update/urn:li:share:7413925780222824448" TargetMode="External"/><Relationship Id="rId149" Type="http://schemas.openxmlformats.org/officeDocument/2006/relationships/hyperlink" Target="https://www.linkedin.com/feed/update/urn:li:share:7422617536162095105" TargetMode="External"/><Relationship Id="rId5" Type="http://schemas.openxmlformats.org/officeDocument/2006/relationships/hyperlink" Target="https://www.linkedin.com/feed/update/urn:li:share:7371855380181684224" TargetMode="External"/><Relationship Id="rId95" Type="http://schemas.openxmlformats.org/officeDocument/2006/relationships/hyperlink" Target="https://www.linkedin.com/feed/update/urn:li:ugcPost:7400150964835520512" TargetMode="External"/><Relationship Id="rId160" Type="http://schemas.openxmlformats.org/officeDocument/2006/relationships/hyperlink" Target="https://www.linkedin.com/feed/update/urn:li:ugcPost:7424787213177061376" TargetMode="External"/><Relationship Id="rId181" Type="http://schemas.openxmlformats.org/officeDocument/2006/relationships/hyperlink" Target="https://www.linkedin.com/feed/update/urn:li:ugcPost:7428427524021362688" TargetMode="External"/><Relationship Id="rId216" Type="http://schemas.openxmlformats.org/officeDocument/2006/relationships/hyperlink" Target="https://lnkd.in/dzdRCi6g" TargetMode="External"/><Relationship Id="rId237" Type="http://schemas.openxmlformats.org/officeDocument/2006/relationships/hyperlink" Target="mailto:infexn@haystackanalytics.in" TargetMode="External"/><Relationship Id="rId258" Type="http://schemas.openxmlformats.org/officeDocument/2006/relationships/hyperlink" Target="https://www.linkedin.com/feed/update/urn:li:ugcPost:7442836148592336896" TargetMode="External"/><Relationship Id="rId279" Type="http://schemas.openxmlformats.org/officeDocument/2006/relationships/hyperlink" Target="https://lnkd.in/d8N4TNde" TargetMode="External"/><Relationship Id="rId22" Type="http://schemas.openxmlformats.org/officeDocument/2006/relationships/hyperlink" Target="https://www.linkedin.com/feed/update/urn:li:ugcPost:7376957801044193280" TargetMode="External"/><Relationship Id="rId43" Type="http://schemas.openxmlformats.org/officeDocument/2006/relationships/hyperlink" Target="https://www.linkedin.com/feed/update/urn:li:share:7381572834566983680" TargetMode="External"/><Relationship Id="rId64" Type="http://schemas.openxmlformats.org/officeDocument/2006/relationships/hyperlink" Target="https://www.linkedin.com/feed/update/urn:li:ugcPost:7386326247812964352" TargetMode="External"/><Relationship Id="rId118" Type="http://schemas.openxmlformats.org/officeDocument/2006/relationships/hyperlink" Target="https://www.linkedin.com/feed/update/urn:li:share:7408158126706810880" TargetMode="External"/><Relationship Id="rId139" Type="http://schemas.openxmlformats.org/officeDocument/2006/relationships/hyperlink" Target="https://www.linkedin.com/feed/update/urn:li:share:7419360536494215169" TargetMode="External"/><Relationship Id="rId290" Type="http://schemas.openxmlformats.org/officeDocument/2006/relationships/hyperlink" Target="https://www.linkedin.com/feed/update/urn:li:ugcPost:7449711081188618240" TargetMode="External"/><Relationship Id="rId304" Type="http://schemas.openxmlformats.org/officeDocument/2006/relationships/hyperlink" Target="https://lnkd.in/d6r7QJ_p" TargetMode="External"/><Relationship Id="rId85" Type="http://schemas.openxmlformats.org/officeDocument/2006/relationships/hyperlink" Target="https://www.linkedin.com/feed/update/urn:li:share:7394732561240834048" TargetMode="External"/><Relationship Id="rId150" Type="http://schemas.openxmlformats.org/officeDocument/2006/relationships/hyperlink" Target="https://lnkd.in/dmx9xWnQ" TargetMode="External"/><Relationship Id="rId171" Type="http://schemas.openxmlformats.org/officeDocument/2006/relationships/hyperlink" Target="https://www.linkedin.com/feed/update/urn:li:share:7427698923454144512" TargetMode="External"/><Relationship Id="rId192" Type="http://schemas.openxmlformats.org/officeDocument/2006/relationships/hyperlink" Target="https://www.linkedin.com/feed/update/urn:li:ugcPost:7430591814958669824" TargetMode="External"/><Relationship Id="rId206" Type="http://schemas.openxmlformats.org/officeDocument/2006/relationships/hyperlink" Target="https://www.linkedin.com/feed/update/urn:li:ugcPost:7433038246114316288" TargetMode="External"/><Relationship Id="rId227" Type="http://schemas.openxmlformats.org/officeDocument/2006/relationships/hyperlink" Target="https://lnkd.in/dGmtC-DS" TargetMode="External"/><Relationship Id="rId248" Type="http://schemas.openxmlformats.org/officeDocument/2006/relationships/hyperlink" Target="https://www.linkedin.com/feed/update/urn:li:share:7440758319641735168" TargetMode="External"/><Relationship Id="rId269" Type="http://schemas.openxmlformats.org/officeDocument/2006/relationships/hyperlink" Target="https://www.linkedin.com/feed/update/urn:li:share:7446812330480558080" TargetMode="External"/><Relationship Id="rId12" Type="http://schemas.openxmlformats.org/officeDocument/2006/relationships/hyperlink" Target="https://www.linkedin.com/feed/update/urn:li:share:7375116538871382016" TargetMode="External"/><Relationship Id="rId33" Type="http://schemas.openxmlformats.org/officeDocument/2006/relationships/hyperlink" Target="https://lnkd.in/drVKDh3K" TargetMode="External"/><Relationship Id="rId108" Type="http://schemas.openxmlformats.org/officeDocument/2006/relationships/hyperlink" Target="https://www.linkedin.com/feed/update/urn:li:share:7406678465569202178" TargetMode="External"/><Relationship Id="rId129" Type="http://schemas.openxmlformats.org/officeDocument/2006/relationships/hyperlink" Target="https://www.linkedin.com/feed/update/urn:li:share:7415025066540744704" TargetMode="External"/><Relationship Id="rId280" Type="http://schemas.openxmlformats.org/officeDocument/2006/relationships/hyperlink" Target="https://www.linkedin.com/feed/update/urn:li:share:7448637283723038720" TargetMode="External"/><Relationship Id="rId54" Type="http://schemas.openxmlformats.org/officeDocument/2006/relationships/hyperlink" Target="https://lnkd.in/dkVU_Tbz" TargetMode="External"/><Relationship Id="rId75" Type="http://schemas.openxmlformats.org/officeDocument/2006/relationships/hyperlink" Target="https://www.linkedin.com/feed/update/urn:li:ugcPost:7391452338584010752" TargetMode="External"/><Relationship Id="rId96" Type="http://schemas.openxmlformats.org/officeDocument/2006/relationships/hyperlink" Target="https://www.linkedin.com/feed/update/urn:li:ugcPost:7401246858104188928" TargetMode="External"/><Relationship Id="rId140" Type="http://schemas.openxmlformats.org/officeDocument/2006/relationships/hyperlink" Target="https://www.linkedin.com/feed/update/urn:li:share:7419364459594334208" TargetMode="External"/><Relationship Id="rId161" Type="http://schemas.openxmlformats.org/officeDocument/2006/relationships/hyperlink" Target="https://www.linkedin.com/feed/update/urn:li:share:7425555872447102976" TargetMode="External"/><Relationship Id="rId182" Type="http://schemas.openxmlformats.org/officeDocument/2006/relationships/hyperlink" Target="https://www.linkedin.com/feed/update/urn:li:share:7429102096441856000" TargetMode="External"/><Relationship Id="rId217" Type="http://schemas.openxmlformats.org/officeDocument/2006/relationships/hyperlink" Target="https://www.linkedin.com/feed/update/urn:li:share:7434871954496512000" TargetMode="External"/><Relationship Id="rId6" Type="http://schemas.openxmlformats.org/officeDocument/2006/relationships/hyperlink" Target="https://www.linkedin.com/feed/update/urn:li:ugcPost:7372516420368273408" TargetMode="External"/><Relationship Id="rId238" Type="http://schemas.openxmlformats.org/officeDocument/2006/relationships/hyperlink" Target="https://www.linkedin.com/feed/update/urn:li:share:7438479557264932864" TargetMode="External"/><Relationship Id="rId259" Type="http://schemas.openxmlformats.org/officeDocument/2006/relationships/hyperlink" Target="https://www.linkedin.com/feed/update/urn:li:share:7442922061825564672" TargetMode="External"/><Relationship Id="rId23" Type="http://schemas.openxmlformats.org/officeDocument/2006/relationships/hyperlink" Target="https://www.linkedin.com/feed/update/urn:li:share:7377581760659767296" TargetMode="External"/><Relationship Id="rId119" Type="http://schemas.openxmlformats.org/officeDocument/2006/relationships/hyperlink" Target="https://www.linkedin.com/feed/update/urn:li:share:7408778127381848064" TargetMode="External"/><Relationship Id="rId270" Type="http://schemas.openxmlformats.org/officeDocument/2006/relationships/hyperlink" Target="https://www.linkedin.com/feed/update/urn:li:share:7446883057208320001" TargetMode="External"/><Relationship Id="rId291" Type="http://schemas.openxmlformats.org/officeDocument/2006/relationships/hyperlink" Target="https://www.linkedin.com/feed/update/urn:li:share:7449810375304343552" TargetMode="External"/><Relationship Id="rId44" Type="http://schemas.openxmlformats.org/officeDocument/2006/relationships/hyperlink" Target="https://lnkd.in/drVKDh3K" TargetMode="External"/><Relationship Id="rId65" Type="http://schemas.openxmlformats.org/officeDocument/2006/relationships/hyperlink" Target="https://www.linkedin.com/feed/update/urn:li:ugcPost:7387361433635667968" TargetMode="External"/><Relationship Id="rId86" Type="http://schemas.openxmlformats.org/officeDocument/2006/relationships/hyperlink" Target="https://www.linkedin.com/feed/update/urn:li:ugcPost:7394739565283917824" TargetMode="External"/><Relationship Id="rId130" Type="http://schemas.openxmlformats.org/officeDocument/2006/relationships/hyperlink" Target="https://www.linkedin.com/feed/update/urn:li:ugcPost:7415400363077562368" TargetMode="External"/><Relationship Id="rId151" Type="http://schemas.openxmlformats.org/officeDocument/2006/relationships/hyperlink" Target="https://www.linkedin.com/feed/update/urn:li:ugcPost:7422605584123756544" TargetMode="External"/><Relationship Id="rId172" Type="http://schemas.openxmlformats.org/officeDocument/2006/relationships/hyperlink" Target="https://lnkd.in/de4ceU4J" TargetMode="External"/><Relationship Id="rId193" Type="http://schemas.openxmlformats.org/officeDocument/2006/relationships/hyperlink" Target="https://www.linkedin.com/feed/update/urn:li:share:7430962928369156097" TargetMode="External"/><Relationship Id="rId207" Type="http://schemas.openxmlformats.org/officeDocument/2006/relationships/hyperlink" Target="https://www.linkedin.com/feed/update/urn:li:ugcPost:7433402027721990144" TargetMode="External"/><Relationship Id="rId228" Type="http://schemas.openxmlformats.org/officeDocument/2006/relationships/hyperlink" Target="https://www.linkedin.com/feed/update/urn:li:share:7437459053800468480" TargetMode="External"/><Relationship Id="rId249" Type="http://schemas.openxmlformats.org/officeDocument/2006/relationships/hyperlink" Target="https://lnkd.in/dGqBHj6R" TargetMode="External"/><Relationship Id="rId13" Type="http://schemas.openxmlformats.org/officeDocument/2006/relationships/hyperlink" Target="https://www.linkedin.com/feed/update/urn:li:ugcPost:7375128664339980288" TargetMode="External"/><Relationship Id="rId109" Type="http://schemas.openxmlformats.org/officeDocument/2006/relationships/hyperlink" Target="https://lnkd.in/dyz5Gwhx" TargetMode="External"/><Relationship Id="rId260" Type="http://schemas.openxmlformats.org/officeDocument/2006/relationships/hyperlink" Target="https://www.linkedin.com/feed/update/urn:li:share:7443242700948054016" TargetMode="External"/><Relationship Id="rId281" Type="http://schemas.openxmlformats.org/officeDocument/2006/relationships/hyperlink" Target="https://lnkd.in/dwHge3-E" TargetMode="External"/><Relationship Id="rId34" Type="http://schemas.openxmlformats.org/officeDocument/2006/relationships/hyperlink" Target="https://www.linkedin.com/feed/update/urn:li:share:7380237784910995456" TargetMode="External"/><Relationship Id="rId55" Type="http://schemas.openxmlformats.org/officeDocument/2006/relationships/hyperlink" Target="https://www.linkedin.com/feed/update/urn:li:ugcPost:7382660097426055168" TargetMode="External"/><Relationship Id="rId76" Type="http://schemas.openxmlformats.org/officeDocument/2006/relationships/hyperlink" Target="https://www.linkedin.com/feed/update/urn:li:ugcPost:7391833808196583424" TargetMode="External"/><Relationship Id="rId97" Type="http://schemas.openxmlformats.org/officeDocument/2006/relationships/hyperlink" Target="https://www.linkedin.com/feed/update/urn:li:share:7402583801639604224" TargetMode="External"/><Relationship Id="rId120" Type="http://schemas.openxmlformats.org/officeDocument/2006/relationships/hyperlink" Target="https://lnkd.in/dyz5Gwhx" TargetMode="External"/><Relationship Id="rId141" Type="http://schemas.openxmlformats.org/officeDocument/2006/relationships/hyperlink" Target="https://www.linkedin.com/feed/update/urn:li:ugcPost:7419751546550333440" TargetMode="External"/><Relationship Id="rId7" Type="http://schemas.openxmlformats.org/officeDocument/2006/relationships/hyperlink" Target="https://www.linkedin.com/feed/update/urn:li:ugcPost:7373632569420013569" TargetMode="External"/><Relationship Id="rId162" Type="http://schemas.openxmlformats.org/officeDocument/2006/relationships/hyperlink" Target="https://lnkd.in/de4ceU4J" TargetMode="External"/><Relationship Id="rId183" Type="http://schemas.openxmlformats.org/officeDocument/2006/relationships/hyperlink" Target="https://lnkd.in/de4ceU4J" TargetMode="External"/><Relationship Id="rId218" Type="http://schemas.openxmlformats.org/officeDocument/2006/relationships/hyperlink" Target="https://www.linkedin.com/feed/update/urn:li:ugcPost:7434924826005278720" TargetMode="External"/><Relationship Id="rId239" Type="http://schemas.openxmlformats.org/officeDocument/2006/relationships/hyperlink" Target="https://lnkd.in/dGmtC-DS" TargetMode="External"/><Relationship Id="rId2" Type="http://schemas.openxmlformats.org/officeDocument/2006/relationships/hyperlink" Target="https://www.linkedin.com/feed/update/urn:li:share:7369615890344075266" TargetMode="External"/><Relationship Id="rId29" Type="http://schemas.openxmlformats.org/officeDocument/2006/relationships/hyperlink" Target="https://lnkd.in/drVKDh3K" TargetMode="External"/><Relationship Id="rId250" Type="http://schemas.openxmlformats.org/officeDocument/2006/relationships/hyperlink" Target="https://www.linkedin.com/feed/update/urn:li:share:7441823421031776256" TargetMode="External"/><Relationship Id="rId255" Type="http://schemas.openxmlformats.org/officeDocument/2006/relationships/hyperlink" Target="https://lnkd.in/d2xm4fqF" TargetMode="External"/><Relationship Id="rId271" Type="http://schemas.openxmlformats.org/officeDocument/2006/relationships/hyperlink" Target="https://lnkd.in/dwHge3-E" TargetMode="External"/><Relationship Id="rId276" Type="http://schemas.openxmlformats.org/officeDocument/2006/relationships/hyperlink" Target="https://www.linkedin.com/feed/update/urn:li:share:7448347634681118720" TargetMode="External"/><Relationship Id="rId292" Type="http://schemas.openxmlformats.org/officeDocument/2006/relationships/hyperlink" Target="https://lnkd.in/dh_8yjrX" TargetMode="External"/><Relationship Id="rId297" Type="http://schemas.openxmlformats.org/officeDocument/2006/relationships/hyperlink" Target="https://www.linkedin.com/feed/update/urn:li:share:7450427671152558081" TargetMode="External"/><Relationship Id="rId24" Type="http://schemas.openxmlformats.org/officeDocument/2006/relationships/hyperlink" Target="https://www.linkedin.com/feed/update/urn:li:share:7378766763225849857" TargetMode="External"/><Relationship Id="rId40" Type="http://schemas.openxmlformats.org/officeDocument/2006/relationships/hyperlink" Target="https://www.linkedin.com/feed/update/urn:li:ugcPost:7381325385285746689" TargetMode="External"/><Relationship Id="rId45" Type="http://schemas.openxmlformats.org/officeDocument/2006/relationships/hyperlink" Target="https://www.linkedin.com/feed/update/urn:li:ugcPost:7381647186201063424" TargetMode="External"/><Relationship Id="rId66" Type="http://schemas.openxmlformats.org/officeDocument/2006/relationships/hyperlink" Target="https://www.linkedin.com/feed/update/urn:li:share:7387436008847478784" TargetMode="External"/><Relationship Id="rId87" Type="http://schemas.openxmlformats.org/officeDocument/2006/relationships/hyperlink" Target="https://www.linkedin.com/feed/update/urn:li:share:7395424262074957824" TargetMode="External"/><Relationship Id="rId110" Type="http://schemas.openxmlformats.org/officeDocument/2006/relationships/hyperlink" Target="https://www.linkedin.com/feed/update/urn:li:ugcPost:7407044996446687232" TargetMode="External"/><Relationship Id="rId115" Type="http://schemas.openxmlformats.org/officeDocument/2006/relationships/hyperlink" Target="https://lnkd.in/dyz5Gwhx" TargetMode="External"/><Relationship Id="rId131" Type="http://schemas.openxmlformats.org/officeDocument/2006/relationships/hyperlink" Target="https://www.linkedin.com/feed/update/urn:li:ugcPost:7416846068023377921" TargetMode="External"/><Relationship Id="rId136" Type="http://schemas.openxmlformats.org/officeDocument/2006/relationships/hyperlink" Target="https://lnkd.in/dgGnpBPx" TargetMode="External"/><Relationship Id="rId157" Type="http://schemas.openxmlformats.org/officeDocument/2006/relationships/hyperlink" Target="https://www.linkedin.com/feed/update/urn:li:share:7423007927374012416" TargetMode="External"/><Relationship Id="rId178" Type="http://schemas.openxmlformats.org/officeDocument/2006/relationships/hyperlink" Target="https://lnkd.in/de4ceU4J" TargetMode="External"/><Relationship Id="rId301" Type="http://schemas.openxmlformats.org/officeDocument/2006/relationships/hyperlink" Target="https://www.linkedin.com/feed/update/urn:li:ugcPost:7450829839500046336" TargetMode="External"/><Relationship Id="rId61" Type="http://schemas.openxmlformats.org/officeDocument/2006/relationships/hyperlink" Target="https://lnkd.in/d4-AtTnX" TargetMode="External"/><Relationship Id="rId82" Type="http://schemas.openxmlformats.org/officeDocument/2006/relationships/hyperlink" Target="https://www.linkedin.com/feed/update/urn:li:share:7394282136272285698" TargetMode="External"/><Relationship Id="rId152" Type="http://schemas.openxmlformats.org/officeDocument/2006/relationships/hyperlink" Target="https://www.linkedin.com/feed/update/urn:li:ugcPost:7422891068670758912" TargetMode="External"/><Relationship Id="rId173" Type="http://schemas.openxmlformats.org/officeDocument/2006/relationships/hyperlink" Target="https://www.linkedin.com/feed/update/urn:li:share:7427718002680328192" TargetMode="External"/><Relationship Id="rId194" Type="http://schemas.openxmlformats.org/officeDocument/2006/relationships/hyperlink" Target="https://www.linkedin.com/feed/update/urn:li:share:7432056809386856448" TargetMode="External"/><Relationship Id="rId199" Type="http://schemas.openxmlformats.org/officeDocument/2006/relationships/hyperlink" Target="https://lnkd.in/dnJWxvSN" TargetMode="External"/><Relationship Id="rId203" Type="http://schemas.openxmlformats.org/officeDocument/2006/relationships/hyperlink" Target="https://www.linkedin.com/feed/update/urn:li:ugcPost:7433023720014761984" TargetMode="External"/><Relationship Id="rId208" Type="http://schemas.openxmlformats.org/officeDocument/2006/relationships/hyperlink" Target="https://www.linkedin.com/feed/update/urn:li:share:7433462435103035392" TargetMode="External"/><Relationship Id="rId229" Type="http://schemas.openxmlformats.org/officeDocument/2006/relationships/hyperlink" Target="https://lnkd.in/dGmtC-DS" TargetMode="External"/><Relationship Id="rId19" Type="http://schemas.openxmlformats.org/officeDocument/2006/relationships/hyperlink" Target="https://www.linkedin.com/feed/update/urn:li:ugcPost:7376129160609583105" TargetMode="External"/><Relationship Id="rId224" Type="http://schemas.openxmlformats.org/officeDocument/2006/relationships/hyperlink" Target="https://www.linkedin.com/feed/update/urn:li:ugcPost:7437132090770595840" TargetMode="External"/><Relationship Id="rId240" Type="http://schemas.openxmlformats.org/officeDocument/2006/relationships/hyperlink" Target="https://www.linkedin.com/feed/update/urn:li:share:7438833504089432064" TargetMode="External"/><Relationship Id="rId245" Type="http://schemas.openxmlformats.org/officeDocument/2006/relationships/hyperlink" Target="https://www.linkedin.com/feed/update/urn:li:share:7439320061175033856" TargetMode="External"/><Relationship Id="rId261" Type="http://schemas.openxmlformats.org/officeDocument/2006/relationships/hyperlink" Target="https://www.linkedin.com/feed/update/urn:li:share:7443602571765850112" TargetMode="External"/><Relationship Id="rId266" Type="http://schemas.openxmlformats.org/officeDocument/2006/relationships/hyperlink" Target="https://www.linkedin.com/feed/update/urn:li:ugcPost:7445099260221640704" TargetMode="External"/><Relationship Id="rId287" Type="http://schemas.openxmlformats.org/officeDocument/2006/relationships/hyperlink" Target="https://lnkd.in/d6r7QJ_p" TargetMode="External"/><Relationship Id="rId14" Type="http://schemas.openxmlformats.org/officeDocument/2006/relationships/hyperlink" Target="https://lnkd.in/dJqHBVe6" TargetMode="External"/><Relationship Id="rId30" Type="http://schemas.openxmlformats.org/officeDocument/2006/relationships/hyperlink" Target="https://www.linkedin.com/feed/update/urn:li:share:7380114011654291456" TargetMode="External"/><Relationship Id="rId35" Type="http://schemas.openxmlformats.org/officeDocument/2006/relationships/hyperlink" Target="https://lnkd.in/drVKDh3K" TargetMode="External"/><Relationship Id="rId56" Type="http://schemas.openxmlformats.org/officeDocument/2006/relationships/hyperlink" Target="https://www.linkedin.com/feed/update/urn:li:share:7383387596187459584" TargetMode="External"/><Relationship Id="rId77" Type="http://schemas.openxmlformats.org/officeDocument/2006/relationships/hyperlink" Target="https://www.linkedin.com/feed/update/urn:li:ugcPost:7391837859306946560" TargetMode="External"/><Relationship Id="rId100" Type="http://schemas.openxmlformats.org/officeDocument/2006/relationships/hyperlink" Target="https://www.linkedin.com/feed/update/urn:li:share:7403741890996486144" TargetMode="External"/><Relationship Id="rId105" Type="http://schemas.openxmlformats.org/officeDocument/2006/relationships/hyperlink" Target="https://www.linkedin.com/feed/update/urn:li:share:7406314925410856961" TargetMode="External"/><Relationship Id="rId126" Type="http://schemas.openxmlformats.org/officeDocument/2006/relationships/hyperlink" Target="https://www.linkedin.com/feed/update/urn:li:share:7413213177326399488" TargetMode="External"/><Relationship Id="rId147" Type="http://schemas.openxmlformats.org/officeDocument/2006/relationships/hyperlink" Target="https://www.linkedin.com/feed/update/urn:li:share:7422278204612210688" TargetMode="External"/><Relationship Id="rId168" Type="http://schemas.openxmlformats.org/officeDocument/2006/relationships/hyperlink" Target="https://www.linkedin.com/feed/update/urn:li:ugcPost:7426980860660232192" TargetMode="External"/><Relationship Id="rId282" Type="http://schemas.openxmlformats.org/officeDocument/2006/relationships/hyperlink" Target="https://www.linkedin.com/feed/update/urn:li:ugcPost:7448667313698078720" TargetMode="External"/><Relationship Id="rId8" Type="http://schemas.openxmlformats.org/officeDocument/2006/relationships/hyperlink" Target="https://www.linkedin.com/feed/update/urn:li:ugcPost:7373716326193848320" TargetMode="External"/><Relationship Id="rId51" Type="http://schemas.openxmlformats.org/officeDocument/2006/relationships/hyperlink" Target="https://www.linkedin.com/feed/update/urn:li:share:7382361960396443648" TargetMode="External"/><Relationship Id="rId72" Type="http://schemas.openxmlformats.org/officeDocument/2006/relationships/hyperlink" Target="https://www.linkedin.com/feed/update/urn:li:ugcPost:7389328993369489408" TargetMode="External"/><Relationship Id="rId93" Type="http://schemas.openxmlformats.org/officeDocument/2006/relationships/hyperlink" Target="https://www.linkedin.com/feed/update/urn:li:ugcPost:7397650110425313280" TargetMode="External"/><Relationship Id="rId98" Type="http://schemas.openxmlformats.org/officeDocument/2006/relationships/hyperlink" Target="https://www.linkedin.com/feed/update/urn:li:share:7402695026503389184" TargetMode="External"/><Relationship Id="rId121" Type="http://schemas.openxmlformats.org/officeDocument/2006/relationships/hyperlink" Target="https://www.linkedin.com/feed/update/urn:li:ugcPost:7409595999565996032" TargetMode="External"/><Relationship Id="rId142" Type="http://schemas.openxmlformats.org/officeDocument/2006/relationships/hyperlink" Target="https://www.linkedin.com/feed/update/urn:li:ugcPost:7419988124887564288" TargetMode="External"/><Relationship Id="rId163" Type="http://schemas.openxmlformats.org/officeDocument/2006/relationships/hyperlink" Target="https://www.linkedin.com/feed/update/urn:li:share:7425848256632627201" TargetMode="External"/><Relationship Id="rId184" Type="http://schemas.openxmlformats.org/officeDocument/2006/relationships/hyperlink" Target="https://www.linkedin.com/feed/update/urn:li:share:7429152420913500161" TargetMode="External"/><Relationship Id="rId189" Type="http://schemas.openxmlformats.org/officeDocument/2006/relationships/hyperlink" Target="https://lnkd.in/de4ceU4J" TargetMode="External"/><Relationship Id="rId219" Type="http://schemas.openxmlformats.org/officeDocument/2006/relationships/hyperlink" Target="https://lnkd.in/dzdRCi6g" TargetMode="External"/><Relationship Id="rId3" Type="http://schemas.openxmlformats.org/officeDocument/2006/relationships/hyperlink" Target="https://www.linkedin.com/feed/update/urn:li:share:7370303538838614016" TargetMode="External"/><Relationship Id="rId214" Type="http://schemas.openxmlformats.org/officeDocument/2006/relationships/hyperlink" Target="https://lnkd.in/dzdRCi6g" TargetMode="External"/><Relationship Id="rId230" Type="http://schemas.openxmlformats.org/officeDocument/2006/relationships/hyperlink" Target="https://www.linkedin.com/feed/update/urn:li:share:7437493236534853632" TargetMode="External"/><Relationship Id="rId235" Type="http://schemas.openxmlformats.org/officeDocument/2006/relationships/hyperlink" Target="https://www.linkedin.com/feed/update/urn:li:share:7438210251742408704" TargetMode="External"/><Relationship Id="rId251" Type="http://schemas.openxmlformats.org/officeDocument/2006/relationships/hyperlink" Target="https://lnkd.in/dvmAXpXF" TargetMode="External"/><Relationship Id="rId256" Type="http://schemas.openxmlformats.org/officeDocument/2006/relationships/hyperlink" Target="https://www.linkedin.com/feed/update/urn:li:ugcPost:7442195625754091520" TargetMode="External"/><Relationship Id="rId277" Type="http://schemas.openxmlformats.org/officeDocument/2006/relationships/hyperlink" Target="https://lnkd.in/d6r7QJ_p" TargetMode="External"/><Relationship Id="rId298" Type="http://schemas.openxmlformats.org/officeDocument/2006/relationships/hyperlink" Target="https://www.linkedin.com/feed/update/urn:li:share:7450441842246000640" TargetMode="External"/><Relationship Id="rId25" Type="http://schemas.openxmlformats.org/officeDocument/2006/relationships/hyperlink" Target="https://lnkd.in/drVKDh3K" TargetMode="External"/><Relationship Id="rId46" Type="http://schemas.openxmlformats.org/officeDocument/2006/relationships/hyperlink" Target="https://www.linkedin.com/feed/update/urn:li:share:7381962134647140352" TargetMode="External"/><Relationship Id="rId67" Type="http://schemas.openxmlformats.org/officeDocument/2006/relationships/hyperlink" Target="https://www.linkedin.com/feed/update/urn:li:ugcPost:7387720150193623040" TargetMode="External"/><Relationship Id="rId116" Type="http://schemas.openxmlformats.org/officeDocument/2006/relationships/hyperlink" Target="https://www.linkedin.com/feed/update/urn:li:ugcPost:7408139714269995008" TargetMode="External"/><Relationship Id="rId137" Type="http://schemas.openxmlformats.org/officeDocument/2006/relationships/hyperlink" Target="https://www.linkedin.com/feed/update/urn:li:ugcPost:7418962246371790849" TargetMode="External"/><Relationship Id="rId158" Type="http://schemas.openxmlformats.org/officeDocument/2006/relationships/hyperlink" Target="https://www.linkedin.com/feed/update/urn:li:ugcPost:7424784710461218816" TargetMode="External"/><Relationship Id="rId272" Type="http://schemas.openxmlformats.org/officeDocument/2006/relationships/hyperlink" Target="https://www.linkedin.com/feed/update/urn:li:ugcPost:7446919847663394817" TargetMode="External"/><Relationship Id="rId293" Type="http://schemas.openxmlformats.org/officeDocument/2006/relationships/hyperlink" Target="https://www.linkedin.com/feed/update/urn:li:share:7450062278999130113" TargetMode="External"/><Relationship Id="rId302" Type="http://schemas.openxmlformats.org/officeDocument/2006/relationships/hyperlink" Target="https://www.linkedin.com/feed/update/urn:li:ugcPost:7450836712210984963" TargetMode="External"/><Relationship Id="rId20" Type="http://schemas.openxmlformats.org/officeDocument/2006/relationships/hyperlink" Target="https://lnkd.in/gxaafAPf" TargetMode="External"/><Relationship Id="rId41" Type="http://schemas.openxmlformats.org/officeDocument/2006/relationships/hyperlink" Target="https://lnkd.in/drh2aBAk" TargetMode="External"/><Relationship Id="rId62" Type="http://schemas.openxmlformats.org/officeDocument/2006/relationships/hyperlink" Target="https://www.linkedin.com/feed/update/urn:li:share:7385282476593721344" TargetMode="External"/><Relationship Id="rId83" Type="http://schemas.openxmlformats.org/officeDocument/2006/relationships/hyperlink" Target="https://www.linkedin.com/feed/update/urn:li:ugcPost:7394344368779706369" TargetMode="External"/><Relationship Id="rId88" Type="http://schemas.openxmlformats.org/officeDocument/2006/relationships/hyperlink" Target="https://www.linkedin.com/feed/update/urn:li:ugcPost:7396558480339283968" TargetMode="External"/><Relationship Id="rId111" Type="http://schemas.openxmlformats.org/officeDocument/2006/relationships/hyperlink" Target="https://www.linkedin.com/feed/update/urn:li:share:7407403611502145536" TargetMode="External"/><Relationship Id="rId132" Type="http://schemas.openxmlformats.org/officeDocument/2006/relationships/hyperlink" Target="https://www.linkedin.com/feed/update/urn:li:share:7417563081968553985" TargetMode="External"/><Relationship Id="rId153" Type="http://schemas.openxmlformats.org/officeDocument/2006/relationships/hyperlink" Target="https://www.linkedin.com/feed/update/urn:li:share:7422903943304839168" TargetMode="External"/><Relationship Id="rId174" Type="http://schemas.openxmlformats.org/officeDocument/2006/relationships/hyperlink" Target="https://www.linkedin.com/feed/update/urn:li:share:7428071203598307328" TargetMode="External"/><Relationship Id="rId179" Type="http://schemas.openxmlformats.org/officeDocument/2006/relationships/hyperlink" Target="https://www.linkedin.com/feed/update/urn:li:ugcPost:7428397379978088448" TargetMode="External"/><Relationship Id="rId195" Type="http://schemas.openxmlformats.org/officeDocument/2006/relationships/hyperlink" Target="https://lnkd.in/dM3iAQSE" TargetMode="External"/><Relationship Id="rId209" Type="http://schemas.openxmlformats.org/officeDocument/2006/relationships/hyperlink" Target="https://www.linkedin.com/feed/update/urn:li:share:7433480084054806528" TargetMode="External"/><Relationship Id="rId190" Type="http://schemas.openxmlformats.org/officeDocument/2006/relationships/hyperlink" Target="https://www.linkedin.com/feed/update/urn:li:ugcPost:7429883630031794176" TargetMode="External"/><Relationship Id="rId204" Type="http://schemas.openxmlformats.org/officeDocument/2006/relationships/hyperlink" Target="https://lnkd.in/dzdRCi6g" TargetMode="External"/><Relationship Id="rId220" Type="http://schemas.openxmlformats.org/officeDocument/2006/relationships/hyperlink" Target="https://www.linkedin.com/feed/update/urn:li:ugcPost:7434964892845019136" TargetMode="External"/><Relationship Id="rId225" Type="http://schemas.openxmlformats.org/officeDocument/2006/relationships/hyperlink" Target="https://www.linkedin.com/feed/update/urn:li:share:7437140029388439553" TargetMode="External"/><Relationship Id="rId241" Type="http://schemas.openxmlformats.org/officeDocument/2006/relationships/hyperlink" Target="https://lnkd.in/dfFwj3vF" TargetMode="External"/><Relationship Id="rId246" Type="http://schemas.openxmlformats.org/officeDocument/2006/relationships/hyperlink" Target="https://www.linkedin.com/feed/update/urn:li:share:7439998635804749825" TargetMode="External"/><Relationship Id="rId267" Type="http://schemas.openxmlformats.org/officeDocument/2006/relationships/hyperlink" Target="https://www.linkedin.com/feed/update/urn:li:ugcPost:7445369551531429889" TargetMode="External"/><Relationship Id="rId288" Type="http://schemas.openxmlformats.org/officeDocument/2006/relationships/hyperlink" Target="https://www.linkedin.com/feed/update/urn:li:ugcPost:7449425197729783809" TargetMode="External"/><Relationship Id="rId15" Type="http://schemas.openxmlformats.org/officeDocument/2006/relationships/hyperlink" Target="https://www.linkedin.com/feed/update/urn:li:ugcPost:7375779376086409216" TargetMode="External"/><Relationship Id="rId36" Type="http://schemas.openxmlformats.org/officeDocument/2006/relationships/hyperlink" Target="https://www.linkedin.com/feed/update/urn:li:share:7380850980357218304" TargetMode="External"/><Relationship Id="rId57" Type="http://schemas.openxmlformats.org/officeDocument/2006/relationships/hyperlink" Target="https://lnkd.in/dkVU_Tbz" TargetMode="External"/><Relationship Id="rId106" Type="http://schemas.openxmlformats.org/officeDocument/2006/relationships/hyperlink" Target="https://www.linkedin.com/feed/update/urn:li:ugcPost:7406321615501889536" TargetMode="External"/><Relationship Id="rId127" Type="http://schemas.openxmlformats.org/officeDocument/2006/relationships/hyperlink" Target="https://lnkd.in/dKSk7X8b" TargetMode="External"/><Relationship Id="rId262" Type="http://schemas.openxmlformats.org/officeDocument/2006/relationships/hyperlink" Target="https://www.linkedin.com/feed/update/urn:li:ugcPost:7443603766916014080" TargetMode="External"/><Relationship Id="rId283" Type="http://schemas.openxmlformats.org/officeDocument/2006/relationships/hyperlink" Target="https://www.linkedin.com/feed/update/urn:li:share:7449365515770363904" TargetMode="External"/><Relationship Id="rId10" Type="http://schemas.openxmlformats.org/officeDocument/2006/relationships/hyperlink" Target="https://www.linkedin.com/feed/update/urn:li:ugcPost:7374046707073945600" TargetMode="External"/><Relationship Id="rId31" Type="http://schemas.openxmlformats.org/officeDocument/2006/relationships/hyperlink" Target="https://lnkd.in/dkVU_Tbz" TargetMode="External"/><Relationship Id="rId52" Type="http://schemas.openxmlformats.org/officeDocument/2006/relationships/hyperlink" Target="https://www.linkedin.com/feed/update/urn:li:share:7382386925313101824" TargetMode="External"/><Relationship Id="rId73" Type="http://schemas.openxmlformats.org/officeDocument/2006/relationships/hyperlink" Target="https://www.linkedin.com/feed/update/urn:li:share:7389596200120913922" TargetMode="External"/><Relationship Id="rId78" Type="http://schemas.openxmlformats.org/officeDocument/2006/relationships/hyperlink" Target="https://www.linkedin.com/feed/update/urn:li:ugcPost:7392109766912770048" TargetMode="External"/><Relationship Id="rId94" Type="http://schemas.openxmlformats.org/officeDocument/2006/relationships/hyperlink" Target="https://www.linkedin.com/feed/update/urn:li:ugcPost:7399104225432977409" TargetMode="External"/><Relationship Id="rId99" Type="http://schemas.openxmlformats.org/officeDocument/2006/relationships/hyperlink" Target="https://www.linkedin.com/feed/update/urn:li:share:7403073734367936512" TargetMode="External"/><Relationship Id="rId101" Type="http://schemas.openxmlformats.org/officeDocument/2006/relationships/hyperlink" Target="https://www.linkedin.com/feed/update/urn:li:share:7403788006538596352" TargetMode="External"/><Relationship Id="rId122" Type="http://schemas.openxmlformats.org/officeDocument/2006/relationships/hyperlink" Target="https://www.linkedin.com/feed/update/urn:li:share:7409825825908228096" TargetMode="External"/><Relationship Id="rId143" Type="http://schemas.openxmlformats.org/officeDocument/2006/relationships/hyperlink" Target="https://www.linkedin.com/feed/update/urn:li:ugcPost:7420104175063248897" TargetMode="External"/><Relationship Id="rId148" Type="http://schemas.openxmlformats.org/officeDocument/2006/relationships/hyperlink" Target="https://www.linkedin.com/feed/update/urn:li:ugcPost:7422607300831551488" TargetMode="External"/><Relationship Id="rId164" Type="http://schemas.openxmlformats.org/officeDocument/2006/relationships/hyperlink" Target="https://www.linkedin.com/feed/update/urn:li:share:7425863813847158784" TargetMode="External"/><Relationship Id="rId169" Type="http://schemas.openxmlformats.org/officeDocument/2006/relationships/hyperlink" Target="https://www.linkedin.com/feed/update/urn:li:share:7426982283355545601" TargetMode="External"/><Relationship Id="rId185" Type="http://schemas.openxmlformats.org/officeDocument/2006/relationships/hyperlink" Target="https://www.linkedin.com/feed/update/urn:li:ugcPost:7429481804744736769" TargetMode="External"/><Relationship Id="rId4" Type="http://schemas.openxmlformats.org/officeDocument/2006/relationships/hyperlink" Target="https://www.linkedin.com/feed/update/urn:li:share:7371065788176228354" TargetMode="External"/><Relationship Id="rId9" Type="http://schemas.openxmlformats.org/officeDocument/2006/relationships/hyperlink" Target="https://www.linkedin.com/feed/update/urn:li:ugcPost:7373989722496516096" TargetMode="External"/><Relationship Id="rId180" Type="http://schemas.openxmlformats.org/officeDocument/2006/relationships/hyperlink" Target="https://www.linkedin.com/feed/update/urn:li:share:7428408000991793153" TargetMode="External"/><Relationship Id="rId210" Type="http://schemas.openxmlformats.org/officeDocument/2006/relationships/hyperlink" Target="https://www.linkedin.com/feed/update/urn:li:share:7433486009230573568" TargetMode="External"/><Relationship Id="rId215" Type="http://schemas.openxmlformats.org/officeDocument/2006/relationships/hyperlink" Target="https://www.linkedin.com/feed/update/urn:li:ugcPost:7434537062931976193" TargetMode="External"/><Relationship Id="rId236" Type="http://schemas.openxmlformats.org/officeDocument/2006/relationships/hyperlink" Target="https://www.linkedin.com/feed/update/urn:li:ugcPost:7438229411495034880" TargetMode="External"/><Relationship Id="rId257" Type="http://schemas.openxmlformats.org/officeDocument/2006/relationships/hyperlink" Target="https://www.linkedin.com/feed/update/urn:li:ugcPost:7442543087232630784" TargetMode="External"/><Relationship Id="rId278" Type="http://schemas.openxmlformats.org/officeDocument/2006/relationships/hyperlink" Target="https://www.linkedin.com/feed/update/urn:li:ugcPost:7448621141071613952" TargetMode="External"/><Relationship Id="rId26" Type="http://schemas.openxmlformats.org/officeDocument/2006/relationships/hyperlink" Target="https://www.linkedin.com/feed/update/urn:li:share:7379033651575025664" TargetMode="External"/><Relationship Id="rId231" Type="http://schemas.openxmlformats.org/officeDocument/2006/relationships/hyperlink" Target="https://www.linkedin.com/feed/update/urn:li:share:7437786613344280576" TargetMode="External"/><Relationship Id="rId252" Type="http://schemas.openxmlformats.org/officeDocument/2006/relationships/hyperlink" Target="https://www.linkedin.com/feed/update/urn:li:share:7441831397859794944" TargetMode="External"/><Relationship Id="rId273" Type="http://schemas.openxmlformats.org/officeDocument/2006/relationships/hyperlink" Target="https://www.linkedin.com/feed/update/urn:li:ugcPost:7447648766922215424" TargetMode="External"/><Relationship Id="rId294" Type="http://schemas.openxmlformats.org/officeDocument/2006/relationships/hyperlink" Target="https://lnkd.in/dwHge3-E" TargetMode="External"/><Relationship Id="rId47" Type="http://schemas.openxmlformats.org/officeDocument/2006/relationships/hyperlink" Target="https://lnkd.in/dkVU_Tbz" TargetMode="External"/><Relationship Id="rId68" Type="http://schemas.openxmlformats.org/officeDocument/2006/relationships/hyperlink" Target="https://www.linkedin.com/feed/update/urn:li:share:7387782570157047808" TargetMode="External"/><Relationship Id="rId89" Type="http://schemas.openxmlformats.org/officeDocument/2006/relationships/hyperlink" Target="https://www.linkedin.com/feed/update/urn:li:share:7396809061855535104" TargetMode="External"/><Relationship Id="rId112" Type="http://schemas.openxmlformats.org/officeDocument/2006/relationships/hyperlink" Target="https://lnkd.in/dyz5Gwhx" TargetMode="External"/><Relationship Id="rId133" Type="http://schemas.openxmlformats.org/officeDocument/2006/relationships/hyperlink" Target="https://www.linkedin.com/feed/update/urn:li:share:7417861378092433408" TargetMode="External"/><Relationship Id="rId154" Type="http://schemas.openxmlformats.org/officeDocument/2006/relationships/hyperlink" Target="https://lnkd.in/dmx9xWnQ" TargetMode="External"/><Relationship Id="rId175" Type="http://schemas.openxmlformats.org/officeDocument/2006/relationships/hyperlink" Target="https://lnkd.in/de4ceU4J" TargetMode="External"/><Relationship Id="rId196" Type="http://schemas.openxmlformats.org/officeDocument/2006/relationships/hyperlink" Target="https://www.linkedin.com/feed/update/urn:li:ugcPost:7432075333153083393" TargetMode="External"/><Relationship Id="rId200" Type="http://schemas.openxmlformats.org/officeDocument/2006/relationships/hyperlink" Target="https://www.linkedin.com/feed/update/urn:li:share:7432378956374368257" TargetMode="External"/><Relationship Id="rId16" Type="http://schemas.openxmlformats.org/officeDocument/2006/relationships/hyperlink" Target="https://lnkd.in/dHw-wUZ7" TargetMode="External"/><Relationship Id="rId221" Type="http://schemas.openxmlformats.org/officeDocument/2006/relationships/hyperlink" Target="https://www.linkedin.com/feed/update/urn:li:ugcPost:7436278597520113665" TargetMode="External"/><Relationship Id="rId242" Type="http://schemas.openxmlformats.org/officeDocument/2006/relationships/hyperlink" Target="https://www.linkedin.com/feed/update/urn:li:share:7439199793257537536" TargetMode="External"/><Relationship Id="rId263" Type="http://schemas.openxmlformats.org/officeDocument/2006/relationships/hyperlink" Target="https://www.linkedin.com/feed/update/urn:li:ugcPost:7443631574467768320" TargetMode="External"/><Relationship Id="rId284" Type="http://schemas.openxmlformats.org/officeDocument/2006/relationships/hyperlink" Target="https://lnkd.in/dwHge3-E" TargetMode="External"/><Relationship Id="rId37" Type="http://schemas.openxmlformats.org/officeDocument/2006/relationships/hyperlink" Target="https://lnkd.in/drVKDh3K" TargetMode="External"/><Relationship Id="rId58" Type="http://schemas.openxmlformats.org/officeDocument/2006/relationships/hyperlink" Target="https://www.linkedin.com/feed/update/urn:li:share:7384122000824315904" TargetMode="External"/><Relationship Id="rId79" Type="http://schemas.openxmlformats.org/officeDocument/2006/relationships/hyperlink" Target="https://www.linkedin.com/feed/update/urn:li:share:7393605376992071680" TargetMode="External"/><Relationship Id="rId102" Type="http://schemas.openxmlformats.org/officeDocument/2006/relationships/hyperlink" Target="https://www.linkedin.com/feed/update/urn:li:share:7404490623598170113" TargetMode="External"/><Relationship Id="rId123" Type="http://schemas.openxmlformats.org/officeDocument/2006/relationships/hyperlink" Target="https://www.linkedin.com/feed/update/urn:li:ugcPost:7410319305684426752" TargetMode="External"/><Relationship Id="rId144" Type="http://schemas.openxmlformats.org/officeDocument/2006/relationships/hyperlink" Target="https://www.linkedin.com/feed/update/urn:li:ugcPost:7420717099259617281" TargetMode="External"/><Relationship Id="rId90" Type="http://schemas.openxmlformats.org/officeDocument/2006/relationships/hyperlink" Target="https://www.linkedin.com/feed/update/urn:li:share:7396816288150532097" TargetMode="External"/><Relationship Id="rId165" Type="http://schemas.openxmlformats.org/officeDocument/2006/relationships/hyperlink" Target="https://www.linkedin.com/feed/update/urn:li:ugcPost:7425864894945689600" TargetMode="External"/><Relationship Id="rId186" Type="http://schemas.openxmlformats.org/officeDocument/2006/relationships/hyperlink" Target="https://lnkd.in/de4ceU4J" TargetMode="External"/><Relationship Id="rId211" Type="http://schemas.openxmlformats.org/officeDocument/2006/relationships/hyperlink" Target="https://lnkd.in/dnJWxvSN" TargetMode="External"/><Relationship Id="rId232" Type="http://schemas.openxmlformats.org/officeDocument/2006/relationships/hyperlink" Target="https://lnkd.in/dGmtC-DS" TargetMode="External"/><Relationship Id="rId253" Type="http://schemas.openxmlformats.org/officeDocument/2006/relationships/hyperlink" Target="https://www.linkedin.com/feed/update/urn:li:share:7441833305047474176" TargetMode="External"/><Relationship Id="rId274" Type="http://schemas.openxmlformats.org/officeDocument/2006/relationships/hyperlink" Target="https://www.linkedin.com/feed/update/urn:li:share:7447973604866322435" TargetMode="External"/><Relationship Id="rId295" Type="http://schemas.openxmlformats.org/officeDocument/2006/relationships/hyperlink" Target="https://www.linkedin.com/feed/update/urn:li:share:7450114113588043776" TargetMode="External"/><Relationship Id="rId27" Type="http://schemas.openxmlformats.org/officeDocument/2006/relationships/hyperlink" Target="https://lnkd.in/dxYcGyCG" TargetMode="External"/><Relationship Id="rId48" Type="http://schemas.openxmlformats.org/officeDocument/2006/relationships/hyperlink" Target="https://www.linkedin.com/feed/update/urn:li:ugcPost:7382033976263249920" TargetMode="External"/><Relationship Id="rId69" Type="http://schemas.openxmlformats.org/officeDocument/2006/relationships/hyperlink" Target="https://www.linkedin.com/feed/update/urn:li:share:7387824424005177345" TargetMode="External"/><Relationship Id="rId113" Type="http://schemas.openxmlformats.org/officeDocument/2006/relationships/hyperlink" Target="https://www.linkedin.com/feed/update/urn:li:ugcPost:7407767219348209664" TargetMode="External"/><Relationship Id="rId134" Type="http://schemas.openxmlformats.org/officeDocument/2006/relationships/hyperlink" Target="https://www.linkedin.com/feed/update/urn:li:ugcPost:7417914011129692160" TargetMode="External"/><Relationship Id="rId80" Type="http://schemas.openxmlformats.org/officeDocument/2006/relationships/hyperlink" Target="https://www.linkedin.com/feed/update/urn:li:ugcPost:7393643011303161856" TargetMode="External"/><Relationship Id="rId155" Type="http://schemas.openxmlformats.org/officeDocument/2006/relationships/hyperlink" Target="https://www.linkedin.com/feed/update/urn:li:share:7422917173418876928" TargetMode="External"/><Relationship Id="rId176" Type="http://schemas.openxmlformats.org/officeDocument/2006/relationships/hyperlink" Target="https://www.linkedin.com/feed/update/urn:li:ugcPost:7428083149726793728" TargetMode="External"/><Relationship Id="rId197" Type="http://schemas.openxmlformats.org/officeDocument/2006/relationships/hyperlink" Target="https://www.linkedin.com/feed/update/urn:li:ugcPost:7432076985763500033" TargetMode="External"/><Relationship Id="rId201" Type="http://schemas.openxmlformats.org/officeDocument/2006/relationships/hyperlink" Target="https://www.linkedin.com/feed/update/urn:li:ugcPost:7432422256099643393" TargetMode="External"/><Relationship Id="rId222" Type="http://schemas.openxmlformats.org/officeDocument/2006/relationships/hyperlink" Target="https://www.linkedin.com/feed/update/urn:li:share:7437042406706937857" TargetMode="External"/><Relationship Id="rId243" Type="http://schemas.openxmlformats.org/officeDocument/2006/relationships/hyperlink" Target="https://www.linkedin.com/feed/update/urn:li:share:7439220641574207488" TargetMode="External"/><Relationship Id="rId264" Type="http://schemas.openxmlformats.org/officeDocument/2006/relationships/hyperlink" Target="https://www.linkedin.com/feed/update/urn:li:share:7444648472764407808" TargetMode="External"/><Relationship Id="rId285" Type="http://schemas.openxmlformats.org/officeDocument/2006/relationships/hyperlink" Target="https://www.linkedin.com/feed/update/urn:li:share:7449385296867205122" TargetMode="External"/><Relationship Id="rId17" Type="http://schemas.openxmlformats.org/officeDocument/2006/relationships/hyperlink" Target="https://www.linkedin.com/feed/update/urn:li:ugcPost:7375879672355704832" TargetMode="External"/><Relationship Id="rId38" Type="http://schemas.openxmlformats.org/officeDocument/2006/relationships/hyperlink" Target="https://www.linkedin.com/feed/update/urn:li:share:7381220926283137025" TargetMode="External"/><Relationship Id="rId59" Type="http://schemas.openxmlformats.org/officeDocument/2006/relationships/hyperlink" Target="https://lnkd.in/d75F8d_8" TargetMode="External"/><Relationship Id="rId103" Type="http://schemas.openxmlformats.org/officeDocument/2006/relationships/hyperlink" Target="https://www.linkedin.com/feed/update/urn:li:share:7405259556609716224" TargetMode="External"/><Relationship Id="rId124" Type="http://schemas.openxmlformats.org/officeDocument/2006/relationships/hyperlink" Target="https://www.linkedin.com/feed/update/urn:li:ugcPost:7411384547679920128" TargetMode="External"/><Relationship Id="rId70" Type="http://schemas.openxmlformats.org/officeDocument/2006/relationships/hyperlink" Target="https://www.linkedin.com/feed/update/urn:li:share:7388069246901231616" TargetMode="External"/><Relationship Id="rId91" Type="http://schemas.openxmlformats.org/officeDocument/2006/relationships/hyperlink" Target="https://www.linkedin.com/feed/update/urn:li:ugcPost:7396855789384085505" TargetMode="External"/><Relationship Id="rId145" Type="http://schemas.openxmlformats.org/officeDocument/2006/relationships/hyperlink" Target="https://www.linkedin.com/feed/update/urn:li:ugcPost:7422252935939522560" TargetMode="External"/><Relationship Id="rId166" Type="http://schemas.openxmlformats.org/officeDocument/2006/relationships/hyperlink" Target="https://www.linkedin.com/feed/update/urn:li:ugcPost:7425895159692726272" TargetMode="External"/><Relationship Id="rId187" Type="http://schemas.openxmlformats.org/officeDocument/2006/relationships/hyperlink" Target="https://www.linkedin.com/feed/update/urn:li:share:7429534582183530496" TargetMode="External"/><Relationship Id="rId1" Type="http://schemas.openxmlformats.org/officeDocument/2006/relationships/hyperlink" Target="https://www.linkedin.com/feed/update/urn:li:share:7369289821162242052" TargetMode="External"/><Relationship Id="rId212" Type="http://schemas.openxmlformats.org/officeDocument/2006/relationships/hyperlink" Target="https://www.linkedin.com/feed/update/urn:li:share:7433484243470753793" TargetMode="External"/><Relationship Id="rId233" Type="http://schemas.openxmlformats.org/officeDocument/2006/relationships/hyperlink" Target="https://www.linkedin.com/feed/update/urn:li:share:7437861584632393728" TargetMode="External"/><Relationship Id="rId254" Type="http://schemas.openxmlformats.org/officeDocument/2006/relationships/hyperlink" Target="https://www.linkedin.com/feed/update/urn:li:share:7442140145954406400" TargetMode="External"/><Relationship Id="rId28" Type="http://schemas.openxmlformats.org/officeDocument/2006/relationships/hyperlink" Target="https://www.linkedin.com/feed/update/urn:li:share:7379113843672657920" TargetMode="External"/><Relationship Id="rId49" Type="http://schemas.openxmlformats.org/officeDocument/2006/relationships/hyperlink" Target="https://www.linkedin.com/feed/update/urn:li:share:7382298896544370689" TargetMode="External"/><Relationship Id="rId114" Type="http://schemas.openxmlformats.org/officeDocument/2006/relationships/hyperlink" Target="https://www.linkedin.com/feed/update/urn:li:share:7408071880827396096" TargetMode="External"/><Relationship Id="rId275" Type="http://schemas.openxmlformats.org/officeDocument/2006/relationships/hyperlink" Target="https://lnkd.in/dwHge3-E" TargetMode="External"/><Relationship Id="rId296" Type="http://schemas.openxmlformats.org/officeDocument/2006/relationships/hyperlink" Target="https://www.linkedin.com/feed/update/urn:li:ugcPost:7450160125484572672" TargetMode="External"/><Relationship Id="rId300" Type="http://schemas.openxmlformats.org/officeDocument/2006/relationships/hyperlink" Target="https://www.linkedin.com/feed/update/urn:li:ugcPost:7450544901181751297" TargetMode="External"/><Relationship Id="rId60" Type="http://schemas.openxmlformats.org/officeDocument/2006/relationships/hyperlink" Target="https://www.linkedin.com/feed/update/urn:li:share:7384214974568587264" TargetMode="External"/><Relationship Id="rId81" Type="http://schemas.openxmlformats.org/officeDocument/2006/relationships/hyperlink" Target="https://www.linkedin.com/feed/update/urn:li:ugcPost:7394031923066601472" TargetMode="External"/><Relationship Id="rId135" Type="http://schemas.openxmlformats.org/officeDocument/2006/relationships/hyperlink" Target="https://www.linkedin.com/feed/update/urn:li:ugcPost:7418958271526576128" TargetMode="External"/><Relationship Id="rId156" Type="http://schemas.openxmlformats.org/officeDocument/2006/relationships/hyperlink" Target="https://www.linkedin.com/feed/update/urn:li:ugcPost:7422991202469326848" TargetMode="External"/><Relationship Id="rId177" Type="http://schemas.openxmlformats.org/officeDocument/2006/relationships/hyperlink" Target="https://www.linkedin.com/feed/update/urn:li:share:7428357476938551296" TargetMode="External"/><Relationship Id="rId198" Type="http://schemas.openxmlformats.org/officeDocument/2006/relationships/hyperlink" Target="https://www.linkedin.com/feed/update/urn:li:share:7432349854372192256" TargetMode="External"/><Relationship Id="rId202" Type="http://schemas.openxmlformats.org/officeDocument/2006/relationships/hyperlink" Target="https://www.linkedin.com/feed/update/urn:li:ugcPost:7432781924223553537" TargetMode="External"/><Relationship Id="rId223" Type="http://schemas.openxmlformats.org/officeDocument/2006/relationships/hyperlink" Target="https://lnkd.in/dGmtC-DS" TargetMode="External"/><Relationship Id="rId244" Type="http://schemas.openxmlformats.org/officeDocument/2006/relationships/hyperlink" Target="https://lnkd.in/dGmtC-DS" TargetMode="External"/><Relationship Id="rId18" Type="http://schemas.openxmlformats.org/officeDocument/2006/relationships/hyperlink" Target="https://lnkd.in/dH4UXbvB" TargetMode="External"/><Relationship Id="rId39" Type="http://schemas.openxmlformats.org/officeDocument/2006/relationships/hyperlink" Target="https://lnkd.in/dkVU_Tbz" TargetMode="External"/><Relationship Id="rId265" Type="http://schemas.openxmlformats.org/officeDocument/2006/relationships/hyperlink" Target="https://www.linkedin.com/feed/update/urn:li:share:7444997379415736320" TargetMode="External"/><Relationship Id="rId286" Type="http://schemas.openxmlformats.org/officeDocument/2006/relationships/hyperlink" Target="https://www.linkedin.com/feed/update/urn:li:share:7449370903215316993" TargetMode="External"/><Relationship Id="rId50" Type="http://schemas.openxmlformats.org/officeDocument/2006/relationships/hyperlink" Target="https://lnkd.in/dkVU_Tbz" TargetMode="External"/><Relationship Id="rId104" Type="http://schemas.openxmlformats.org/officeDocument/2006/relationships/hyperlink" Target="https://lnkd.in/dyz5Gwhx" TargetMode="External"/><Relationship Id="rId125" Type="http://schemas.openxmlformats.org/officeDocument/2006/relationships/hyperlink" Target="https://www.linkedin.com/feed/update/urn:li:share:7412370849128800256" TargetMode="External"/><Relationship Id="rId146" Type="http://schemas.openxmlformats.org/officeDocument/2006/relationships/hyperlink" Target="https://www.linkedin.com/feed/update/urn:li:share:7422254549723340800" TargetMode="External"/><Relationship Id="rId167" Type="http://schemas.openxmlformats.org/officeDocument/2006/relationships/hyperlink" Target="https://www.linkedin.com/feed/update/urn:li:share:7426632393597370368" TargetMode="External"/><Relationship Id="rId188" Type="http://schemas.openxmlformats.org/officeDocument/2006/relationships/hyperlink" Target="https://www.linkedin.com/feed/update/urn:li:share:7429779280806432769" TargetMode="External"/><Relationship Id="rId71" Type="http://schemas.openxmlformats.org/officeDocument/2006/relationships/hyperlink" Target="https://www.linkedin.com/feed/update/urn:li:share:7388928685178867712" TargetMode="External"/><Relationship Id="rId92" Type="http://schemas.openxmlformats.org/officeDocument/2006/relationships/hyperlink" Target="https://www.linkedin.com/feed/update/urn:li:share:7397590725527412736" TargetMode="External"/><Relationship Id="rId213" Type="http://schemas.openxmlformats.org/officeDocument/2006/relationships/hyperlink" Target="https://www.linkedin.com/feed/update/urn:li:share:7434130788486402049" TargetMode="External"/><Relationship Id="rId234" Type="http://schemas.openxmlformats.org/officeDocument/2006/relationships/hyperlink" Target="https://www.linkedin.com/feed/update/urn:li:ugcPost:74378662926797127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41"/>
  <sheetViews>
    <sheetView workbookViewId="0"/>
  </sheetViews>
  <sheetFormatPr defaultColWidth="12.6640625" defaultRowHeight="15.75" customHeight="1"/>
  <sheetData>
    <row r="1" spans="1:10" ht="15.75" customHeight="1">
      <c r="A1" s="10" t="s">
        <v>110</v>
      </c>
      <c r="B1" s="11" t="s">
        <v>111</v>
      </c>
      <c r="C1" s="11" t="s">
        <v>3</v>
      </c>
      <c r="D1" s="11" t="s">
        <v>4</v>
      </c>
      <c r="E1" s="11" t="s">
        <v>112</v>
      </c>
      <c r="F1" s="11" t="s">
        <v>113</v>
      </c>
      <c r="G1" s="11" t="s">
        <v>114</v>
      </c>
      <c r="H1" s="11" t="s">
        <v>115</v>
      </c>
      <c r="I1" s="12" t="s">
        <v>116</v>
      </c>
      <c r="J1" s="13"/>
    </row>
    <row r="2" spans="1:10">
      <c r="A2" s="1" t="s">
        <v>117</v>
      </c>
      <c r="B2" s="6">
        <v>0</v>
      </c>
      <c r="C2" s="6">
        <v>0</v>
      </c>
      <c r="D2" s="6">
        <v>0</v>
      </c>
      <c r="E2" s="6">
        <v>0</v>
      </c>
      <c r="F2" s="6">
        <v>19</v>
      </c>
      <c r="G2" s="6">
        <v>19</v>
      </c>
      <c r="H2" s="6">
        <v>0</v>
      </c>
      <c r="I2" s="6" t="s">
        <v>118</v>
      </c>
    </row>
    <row r="3" spans="1:10">
      <c r="A3" s="5" t="s">
        <v>119</v>
      </c>
      <c r="B3" s="3">
        <v>4</v>
      </c>
      <c r="C3" s="3">
        <v>0</v>
      </c>
      <c r="D3" s="3">
        <v>0</v>
      </c>
      <c r="E3" s="3">
        <v>0</v>
      </c>
      <c r="F3" s="3">
        <v>156</v>
      </c>
      <c r="G3" s="3">
        <v>57</v>
      </c>
      <c r="H3" s="3">
        <v>4</v>
      </c>
      <c r="I3" s="3" t="s">
        <v>120</v>
      </c>
    </row>
    <row r="4" spans="1:10">
      <c r="A4" s="5" t="s">
        <v>121</v>
      </c>
      <c r="B4" s="6">
        <v>0</v>
      </c>
      <c r="C4" s="6">
        <v>0</v>
      </c>
      <c r="D4" s="6">
        <v>0</v>
      </c>
      <c r="E4" s="6">
        <v>0</v>
      </c>
      <c r="F4" s="6">
        <v>22</v>
      </c>
      <c r="G4" s="6">
        <v>22</v>
      </c>
      <c r="H4" s="6">
        <v>0</v>
      </c>
      <c r="I4" s="6" t="s">
        <v>118</v>
      </c>
    </row>
    <row r="5" spans="1:10">
      <c r="A5" s="5" t="s">
        <v>122</v>
      </c>
      <c r="B5" s="3">
        <v>3</v>
      </c>
      <c r="C5" s="3">
        <v>0</v>
      </c>
      <c r="D5" s="3">
        <v>0</v>
      </c>
      <c r="E5" s="3">
        <v>0</v>
      </c>
      <c r="F5" s="3">
        <v>105</v>
      </c>
      <c r="G5" s="3">
        <v>75</v>
      </c>
      <c r="H5" s="3">
        <v>3</v>
      </c>
      <c r="I5" s="3" t="s">
        <v>27</v>
      </c>
    </row>
    <row r="6" spans="1:10">
      <c r="A6" s="5" t="s">
        <v>123</v>
      </c>
      <c r="B6" s="6">
        <v>0</v>
      </c>
      <c r="C6" s="6">
        <v>0</v>
      </c>
      <c r="D6" s="6">
        <v>0</v>
      </c>
      <c r="E6" s="6">
        <v>0</v>
      </c>
      <c r="F6" s="6">
        <v>17</v>
      </c>
      <c r="G6" s="6">
        <v>17</v>
      </c>
      <c r="H6" s="6">
        <v>0</v>
      </c>
      <c r="I6" s="6" t="s">
        <v>118</v>
      </c>
    </row>
    <row r="7" spans="1:10">
      <c r="A7" s="5" t="s">
        <v>124</v>
      </c>
      <c r="B7" s="3">
        <v>3</v>
      </c>
      <c r="C7" s="3">
        <v>0</v>
      </c>
      <c r="D7" s="3">
        <v>0</v>
      </c>
      <c r="E7" s="3">
        <v>0</v>
      </c>
      <c r="F7" s="3">
        <v>151</v>
      </c>
      <c r="G7" s="3">
        <v>45</v>
      </c>
      <c r="H7" s="3">
        <v>3</v>
      </c>
      <c r="I7" s="3" t="s">
        <v>13</v>
      </c>
    </row>
    <row r="8" spans="1:10">
      <c r="A8" s="5" t="s">
        <v>125</v>
      </c>
      <c r="B8" s="6">
        <v>2</v>
      </c>
      <c r="C8" s="6">
        <v>0</v>
      </c>
      <c r="D8" s="6">
        <v>0</v>
      </c>
      <c r="E8" s="6">
        <v>0</v>
      </c>
      <c r="F8" s="6">
        <v>128</v>
      </c>
      <c r="G8" s="6">
        <v>49</v>
      </c>
      <c r="H8" s="6">
        <v>2</v>
      </c>
      <c r="I8" s="6" t="s">
        <v>126</v>
      </c>
    </row>
    <row r="9" spans="1:10">
      <c r="A9" s="5" t="s">
        <v>127</v>
      </c>
      <c r="B9" s="3">
        <v>6</v>
      </c>
      <c r="C9" s="3">
        <v>0</v>
      </c>
      <c r="D9" s="3">
        <v>0</v>
      </c>
      <c r="E9" s="3">
        <v>0</v>
      </c>
      <c r="F9" s="3">
        <v>152</v>
      </c>
      <c r="G9" s="3">
        <v>56</v>
      </c>
      <c r="H9" s="3">
        <v>6</v>
      </c>
      <c r="I9" s="3" t="s">
        <v>128</v>
      </c>
    </row>
    <row r="10" spans="1:10">
      <c r="A10" s="5" t="s">
        <v>129</v>
      </c>
      <c r="B10" s="6">
        <v>78</v>
      </c>
      <c r="C10" s="6">
        <v>5</v>
      </c>
      <c r="D10" s="6">
        <v>28</v>
      </c>
      <c r="E10" s="6">
        <v>2</v>
      </c>
      <c r="F10" s="7">
        <v>2657</v>
      </c>
      <c r="G10" s="7">
        <v>1890</v>
      </c>
      <c r="H10" s="6">
        <v>119</v>
      </c>
      <c r="I10" s="6" t="s">
        <v>94</v>
      </c>
    </row>
    <row r="11" spans="1:10">
      <c r="A11" s="5" t="s">
        <v>130</v>
      </c>
      <c r="B11" s="3">
        <v>0</v>
      </c>
      <c r="C11" s="3">
        <v>0</v>
      </c>
      <c r="D11" s="3">
        <v>0</v>
      </c>
      <c r="E11" s="3">
        <v>0</v>
      </c>
      <c r="F11" s="3">
        <v>26</v>
      </c>
      <c r="G11" s="3">
        <v>25</v>
      </c>
      <c r="H11" s="3">
        <v>0</v>
      </c>
      <c r="I11" s="3" t="s">
        <v>118</v>
      </c>
    </row>
    <row r="12" spans="1:10">
      <c r="A12" s="5" t="s">
        <v>131</v>
      </c>
      <c r="B12" s="6">
        <v>6</v>
      </c>
      <c r="C12" s="6">
        <v>0</v>
      </c>
      <c r="D12" s="6">
        <v>0</v>
      </c>
      <c r="E12" s="6">
        <v>0</v>
      </c>
      <c r="F12" s="6">
        <v>150</v>
      </c>
      <c r="G12" s="6">
        <v>56</v>
      </c>
      <c r="H12" s="6">
        <v>6</v>
      </c>
      <c r="I12" s="6" t="s">
        <v>128</v>
      </c>
    </row>
    <row r="13" spans="1:10">
      <c r="A13" s="5" t="s">
        <v>132</v>
      </c>
      <c r="B13" s="3">
        <v>6</v>
      </c>
      <c r="C13" s="3">
        <v>0</v>
      </c>
      <c r="D13" s="3">
        <v>0</v>
      </c>
      <c r="E13" s="3">
        <v>0</v>
      </c>
      <c r="F13" s="3">
        <v>142</v>
      </c>
      <c r="G13" s="3">
        <v>49</v>
      </c>
      <c r="H13" s="3">
        <v>6</v>
      </c>
      <c r="I13" s="3" t="s">
        <v>133</v>
      </c>
    </row>
    <row r="14" spans="1:10">
      <c r="A14" s="5" t="s">
        <v>134</v>
      </c>
      <c r="B14" s="6">
        <v>15</v>
      </c>
      <c r="C14" s="6">
        <v>0</v>
      </c>
      <c r="D14" s="6">
        <v>0</v>
      </c>
      <c r="E14" s="6">
        <v>1</v>
      </c>
      <c r="F14" s="6">
        <v>253</v>
      </c>
      <c r="G14" s="6">
        <v>185</v>
      </c>
      <c r="H14" s="6">
        <v>16</v>
      </c>
      <c r="I14" s="6" t="s">
        <v>135</v>
      </c>
    </row>
    <row r="15" spans="1:10">
      <c r="A15" s="5" t="s">
        <v>136</v>
      </c>
      <c r="B15" s="3">
        <v>0</v>
      </c>
      <c r="C15" s="3">
        <v>0</v>
      </c>
      <c r="D15" s="3">
        <v>0</v>
      </c>
      <c r="E15" s="3">
        <v>0</v>
      </c>
      <c r="F15" s="3">
        <v>31</v>
      </c>
      <c r="G15" s="3">
        <v>31</v>
      </c>
      <c r="H15" s="3">
        <v>0</v>
      </c>
      <c r="I15" s="3" t="s">
        <v>118</v>
      </c>
    </row>
    <row r="16" spans="1:10">
      <c r="A16" s="5" t="s">
        <v>137</v>
      </c>
      <c r="B16" s="6">
        <v>44</v>
      </c>
      <c r="C16" s="6">
        <v>1</v>
      </c>
      <c r="D16" s="6">
        <v>10</v>
      </c>
      <c r="E16" s="6">
        <v>1</v>
      </c>
      <c r="F16" s="6">
        <v>733</v>
      </c>
      <c r="G16" s="6">
        <v>560</v>
      </c>
      <c r="H16" s="6">
        <v>61</v>
      </c>
      <c r="I16" s="6" t="s">
        <v>138</v>
      </c>
    </row>
    <row r="17" spans="1:9">
      <c r="A17" s="5" t="s">
        <v>139</v>
      </c>
      <c r="B17" s="3">
        <v>10</v>
      </c>
      <c r="C17" s="3">
        <v>0</v>
      </c>
      <c r="D17" s="3">
        <v>1</v>
      </c>
      <c r="E17" s="3">
        <v>0</v>
      </c>
      <c r="F17" s="3">
        <v>117</v>
      </c>
      <c r="G17" s="3">
        <v>40</v>
      </c>
      <c r="H17" s="3">
        <v>11</v>
      </c>
      <c r="I17" s="3" t="s">
        <v>140</v>
      </c>
    </row>
    <row r="18" spans="1:9">
      <c r="A18" s="5" t="s">
        <v>141</v>
      </c>
      <c r="B18" s="6">
        <v>63</v>
      </c>
      <c r="C18" s="6">
        <v>1</v>
      </c>
      <c r="D18" s="6">
        <v>0</v>
      </c>
      <c r="E18" s="6">
        <v>0</v>
      </c>
      <c r="F18" s="6">
        <v>0</v>
      </c>
      <c r="G18" s="6">
        <v>0</v>
      </c>
      <c r="H18" s="6">
        <v>0</v>
      </c>
      <c r="I18" s="6" t="s">
        <v>118</v>
      </c>
    </row>
    <row r="24" spans="1:9" ht="15.75" customHeight="1">
      <c r="A24" s="10" t="s">
        <v>110</v>
      </c>
      <c r="B24" s="11" t="s">
        <v>111</v>
      </c>
      <c r="C24" s="11" t="s">
        <v>3</v>
      </c>
      <c r="D24" s="11" t="s">
        <v>4</v>
      </c>
      <c r="E24" s="11" t="s">
        <v>112</v>
      </c>
      <c r="F24" s="11" t="s">
        <v>113</v>
      </c>
      <c r="G24" s="11" t="s">
        <v>114</v>
      </c>
      <c r="H24" s="11" t="s">
        <v>115</v>
      </c>
      <c r="I24" s="12" t="s">
        <v>116</v>
      </c>
    </row>
    <row r="25" spans="1:9">
      <c r="A25" s="1" t="s">
        <v>142</v>
      </c>
      <c r="B25" s="6">
        <v>0</v>
      </c>
      <c r="C25" s="6">
        <v>0</v>
      </c>
      <c r="D25" s="6">
        <v>0</v>
      </c>
      <c r="E25" s="6">
        <v>0</v>
      </c>
      <c r="F25" s="6">
        <v>19</v>
      </c>
      <c r="G25" s="6">
        <v>19</v>
      </c>
      <c r="H25" s="6">
        <v>0</v>
      </c>
      <c r="I25" s="6" t="s">
        <v>118</v>
      </c>
    </row>
    <row r="26" spans="1:9">
      <c r="A26" s="5" t="s">
        <v>143</v>
      </c>
      <c r="B26" s="3">
        <v>4</v>
      </c>
      <c r="C26" s="3">
        <v>0</v>
      </c>
      <c r="D26" s="3">
        <v>0</v>
      </c>
      <c r="E26" s="3">
        <v>0</v>
      </c>
      <c r="F26" s="3">
        <v>156</v>
      </c>
      <c r="G26" s="3">
        <v>57</v>
      </c>
      <c r="H26" s="3">
        <v>4</v>
      </c>
      <c r="I26" s="3" t="s">
        <v>120</v>
      </c>
    </row>
    <row r="27" spans="1:9">
      <c r="A27" s="5" t="s">
        <v>144</v>
      </c>
      <c r="B27" s="6">
        <v>0</v>
      </c>
      <c r="C27" s="6">
        <v>0</v>
      </c>
      <c r="D27" s="6">
        <v>0</v>
      </c>
      <c r="E27" s="6">
        <v>0</v>
      </c>
      <c r="F27" s="6">
        <v>22</v>
      </c>
      <c r="G27" s="6">
        <v>22</v>
      </c>
      <c r="H27" s="6">
        <v>0</v>
      </c>
      <c r="I27" s="6" t="s">
        <v>118</v>
      </c>
    </row>
    <row r="28" spans="1:9" ht="13.8">
      <c r="A28" s="5" t="s">
        <v>145</v>
      </c>
      <c r="B28" s="3">
        <v>3</v>
      </c>
      <c r="C28" s="3">
        <v>0</v>
      </c>
      <c r="D28" s="3">
        <v>0</v>
      </c>
      <c r="E28" s="3">
        <v>0</v>
      </c>
      <c r="F28" s="3">
        <v>105</v>
      </c>
      <c r="G28" s="3">
        <v>75</v>
      </c>
      <c r="H28" s="3">
        <v>3</v>
      </c>
      <c r="I28" s="3" t="s">
        <v>27</v>
      </c>
    </row>
    <row r="29" spans="1:9" ht="13.8">
      <c r="A29" s="5" t="s">
        <v>146</v>
      </c>
      <c r="B29" s="6">
        <v>0</v>
      </c>
      <c r="C29" s="6">
        <v>0</v>
      </c>
      <c r="D29" s="6">
        <v>0</v>
      </c>
      <c r="E29" s="6">
        <v>0</v>
      </c>
      <c r="F29" s="6">
        <v>17</v>
      </c>
      <c r="G29" s="6">
        <v>17</v>
      </c>
      <c r="H29" s="6">
        <v>0</v>
      </c>
      <c r="I29" s="6" t="s">
        <v>118</v>
      </c>
    </row>
    <row r="30" spans="1:9" ht="13.8">
      <c r="A30" s="5" t="s">
        <v>147</v>
      </c>
      <c r="B30" s="3">
        <v>3</v>
      </c>
      <c r="C30" s="3">
        <v>0</v>
      </c>
      <c r="D30" s="3">
        <v>0</v>
      </c>
      <c r="E30" s="3">
        <v>0</v>
      </c>
      <c r="F30" s="3">
        <v>151</v>
      </c>
      <c r="G30" s="3">
        <v>45</v>
      </c>
      <c r="H30" s="3">
        <v>3</v>
      </c>
      <c r="I30" s="3" t="s">
        <v>13</v>
      </c>
    </row>
    <row r="31" spans="1:9" ht="13.8">
      <c r="A31" s="5" t="s">
        <v>148</v>
      </c>
      <c r="B31" s="6">
        <v>2</v>
      </c>
      <c r="C31" s="6">
        <v>0</v>
      </c>
      <c r="D31" s="6">
        <v>0</v>
      </c>
      <c r="E31" s="6">
        <v>0</v>
      </c>
      <c r="F31" s="6">
        <v>128</v>
      </c>
      <c r="G31" s="6">
        <v>49</v>
      </c>
      <c r="H31" s="6">
        <v>2</v>
      </c>
      <c r="I31" s="6" t="s">
        <v>126</v>
      </c>
    </row>
    <row r="32" spans="1:9" ht="13.8">
      <c r="A32" s="5" t="s">
        <v>149</v>
      </c>
      <c r="B32" s="3">
        <v>6</v>
      </c>
      <c r="C32" s="3">
        <v>0</v>
      </c>
      <c r="D32" s="3">
        <v>0</v>
      </c>
      <c r="E32" s="3">
        <v>0</v>
      </c>
      <c r="F32" s="3">
        <v>152</v>
      </c>
      <c r="G32" s="3">
        <v>56</v>
      </c>
      <c r="H32" s="3">
        <v>6</v>
      </c>
      <c r="I32" s="3" t="s">
        <v>128</v>
      </c>
    </row>
    <row r="33" spans="1:9" ht="13.8">
      <c r="A33" s="5" t="s">
        <v>150</v>
      </c>
      <c r="B33" s="6">
        <v>78</v>
      </c>
      <c r="C33" s="6">
        <v>5</v>
      </c>
      <c r="D33" s="6">
        <v>28</v>
      </c>
      <c r="E33" s="6">
        <v>2</v>
      </c>
      <c r="F33" s="7">
        <v>2657</v>
      </c>
      <c r="G33" s="7">
        <v>1890</v>
      </c>
      <c r="H33" s="6">
        <v>119</v>
      </c>
      <c r="I33" s="6" t="s">
        <v>94</v>
      </c>
    </row>
    <row r="34" spans="1:9" ht="13.8">
      <c r="A34" s="5" t="s">
        <v>151</v>
      </c>
      <c r="B34" s="3">
        <v>0</v>
      </c>
      <c r="C34" s="3">
        <v>0</v>
      </c>
      <c r="D34" s="3">
        <v>0</v>
      </c>
      <c r="E34" s="3">
        <v>0</v>
      </c>
      <c r="F34" s="3">
        <v>26</v>
      </c>
      <c r="G34" s="3">
        <v>25</v>
      </c>
      <c r="H34" s="3">
        <v>0</v>
      </c>
      <c r="I34" s="3" t="s">
        <v>118</v>
      </c>
    </row>
    <row r="35" spans="1:9" ht="13.8">
      <c r="A35" s="5" t="s">
        <v>152</v>
      </c>
      <c r="B35" s="6">
        <v>6</v>
      </c>
      <c r="C35" s="6">
        <v>0</v>
      </c>
      <c r="D35" s="6">
        <v>0</v>
      </c>
      <c r="E35" s="6">
        <v>0</v>
      </c>
      <c r="F35" s="6">
        <v>150</v>
      </c>
      <c r="G35" s="6">
        <v>56</v>
      </c>
      <c r="H35" s="6">
        <v>6</v>
      </c>
      <c r="I35" s="6" t="s">
        <v>128</v>
      </c>
    </row>
    <row r="36" spans="1:9" ht="13.8">
      <c r="A36" s="5" t="s">
        <v>153</v>
      </c>
      <c r="B36" s="3">
        <v>6</v>
      </c>
      <c r="C36" s="3">
        <v>0</v>
      </c>
      <c r="D36" s="3">
        <v>0</v>
      </c>
      <c r="E36" s="3">
        <v>0</v>
      </c>
      <c r="F36" s="3">
        <v>142</v>
      </c>
      <c r="G36" s="3">
        <v>49</v>
      </c>
      <c r="H36" s="3">
        <v>6</v>
      </c>
      <c r="I36" s="3" t="s">
        <v>133</v>
      </c>
    </row>
    <row r="37" spans="1:9" ht="13.8">
      <c r="A37" s="5" t="s">
        <v>154</v>
      </c>
      <c r="B37" s="6">
        <v>15</v>
      </c>
      <c r="C37" s="6">
        <v>0</v>
      </c>
      <c r="D37" s="6">
        <v>0</v>
      </c>
      <c r="E37" s="6">
        <v>1</v>
      </c>
      <c r="F37" s="6">
        <v>253</v>
      </c>
      <c r="G37" s="6">
        <v>185</v>
      </c>
      <c r="H37" s="6">
        <v>16</v>
      </c>
      <c r="I37" s="6" t="s">
        <v>135</v>
      </c>
    </row>
    <row r="38" spans="1:9" ht="13.8">
      <c r="A38" s="5" t="s">
        <v>155</v>
      </c>
      <c r="B38" s="3">
        <v>0</v>
      </c>
      <c r="C38" s="3">
        <v>0</v>
      </c>
      <c r="D38" s="3">
        <v>0</v>
      </c>
      <c r="E38" s="3">
        <v>0</v>
      </c>
      <c r="F38" s="3">
        <v>31</v>
      </c>
      <c r="G38" s="3">
        <v>31</v>
      </c>
      <c r="H38" s="3">
        <v>0</v>
      </c>
      <c r="I38" s="3" t="s">
        <v>118</v>
      </c>
    </row>
    <row r="39" spans="1:9" ht="13.8">
      <c r="A39" s="5" t="s">
        <v>156</v>
      </c>
      <c r="B39" s="6">
        <v>44</v>
      </c>
      <c r="C39" s="6">
        <v>1</v>
      </c>
      <c r="D39" s="6">
        <v>10</v>
      </c>
      <c r="E39" s="6">
        <v>1</v>
      </c>
      <c r="F39" s="6">
        <v>733</v>
      </c>
      <c r="G39" s="6">
        <v>560</v>
      </c>
      <c r="H39" s="6">
        <v>61</v>
      </c>
      <c r="I39" s="6" t="s">
        <v>138</v>
      </c>
    </row>
    <row r="40" spans="1:9" ht="13.8">
      <c r="A40" s="5" t="s">
        <v>157</v>
      </c>
      <c r="B40" s="3">
        <v>10</v>
      </c>
      <c r="C40" s="3">
        <v>0</v>
      </c>
      <c r="D40" s="3">
        <v>1</v>
      </c>
      <c r="E40" s="3">
        <v>0</v>
      </c>
      <c r="F40" s="3">
        <v>117</v>
      </c>
      <c r="G40" s="3">
        <v>40</v>
      </c>
      <c r="H40" s="3">
        <v>11</v>
      </c>
      <c r="I40" s="3" t="s">
        <v>140</v>
      </c>
    </row>
    <row r="41" spans="1:9" ht="13.8">
      <c r="A41" s="5" t="s">
        <v>158</v>
      </c>
      <c r="B41" s="6">
        <v>63</v>
      </c>
      <c r="C41" s="6">
        <v>1</v>
      </c>
      <c r="D41" s="6">
        <v>0</v>
      </c>
      <c r="E41" s="6">
        <v>0</v>
      </c>
      <c r="F41" s="6">
        <v>0</v>
      </c>
      <c r="G41" s="6">
        <v>0</v>
      </c>
      <c r="H41" s="6">
        <v>0</v>
      </c>
      <c r="I41" s="6" t="s">
        <v>118</v>
      </c>
    </row>
  </sheetData>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0" r:id="rId9" xr:uid="{00000000-0004-0000-0100-000008000000}"/>
    <hyperlink ref="A11" r:id="rId10" xr:uid="{00000000-0004-0000-0100-000009000000}"/>
    <hyperlink ref="A12" r:id="rId11" xr:uid="{00000000-0004-0000-0100-00000A000000}"/>
    <hyperlink ref="A13" r:id="rId12" xr:uid="{00000000-0004-0000-0100-00000B000000}"/>
    <hyperlink ref="A14" r:id="rId13" xr:uid="{00000000-0004-0000-0100-00000C000000}"/>
    <hyperlink ref="A15" r:id="rId14" xr:uid="{00000000-0004-0000-0100-00000D000000}"/>
    <hyperlink ref="A16" r:id="rId15" xr:uid="{00000000-0004-0000-0100-00000E000000}"/>
    <hyperlink ref="A17" r:id="rId16" xr:uid="{00000000-0004-0000-0100-00000F000000}"/>
    <hyperlink ref="A18" r:id="rId17" xr:uid="{00000000-0004-0000-0100-000010000000}"/>
    <hyperlink ref="A25" r:id="rId18" xr:uid="{00000000-0004-0000-0100-000011000000}"/>
    <hyperlink ref="A26" r:id="rId19" xr:uid="{00000000-0004-0000-0100-000012000000}"/>
    <hyperlink ref="A27" r:id="rId20" xr:uid="{00000000-0004-0000-0100-000013000000}"/>
    <hyperlink ref="A28" r:id="rId21" xr:uid="{00000000-0004-0000-0100-000014000000}"/>
    <hyperlink ref="A29" r:id="rId22" xr:uid="{00000000-0004-0000-0100-000015000000}"/>
    <hyperlink ref="A30" r:id="rId23" xr:uid="{00000000-0004-0000-0100-000016000000}"/>
    <hyperlink ref="A31" r:id="rId24" xr:uid="{00000000-0004-0000-0100-000017000000}"/>
    <hyperlink ref="A32" r:id="rId25" xr:uid="{00000000-0004-0000-0100-000018000000}"/>
    <hyperlink ref="A33" r:id="rId26" xr:uid="{00000000-0004-0000-0100-000019000000}"/>
    <hyperlink ref="A34" r:id="rId27" xr:uid="{00000000-0004-0000-0100-00001A000000}"/>
    <hyperlink ref="A35" r:id="rId28" xr:uid="{00000000-0004-0000-0100-00001B000000}"/>
    <hyperlink ref="A36" r:id="rId29" xr:uid="{00000000-0004-0000-0100-00001C000000}"/>
    <hyperlink ref="A37" r:id="rId30" xr:uid="{00000000-0004-0000-0100-00001D000000}"/>
    <hyperlink ref="A38" r:id="rId31" xr:uid="{00000000-0004-0000-0100-00001E000000}"/>
    <hyperlink ref="A39" r:id="rId32" xr:uid="{00000000-0004-0000-0100-00001F000000}"/>
    <hyperlink ref="A40" r:id="rId33" xr:uid="{00000000-0004-0000-0100-000020000000}"/>
    <hyperlink ref="A41" r:id="rId34" xr:uid="{00000000-0004-0000-0100-00002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098"/>
  <sheetViews>
    <sheetView tabSelected="1" workbookViewId="0">
      <pane ySplit="1" topLeftCell="A215" activePane="bottomLeft" state="frozen"/>
      <selection pane="bottomLeft" activeCell="O236" sqref="O236"/>
    </sheetView>
  </sheetViews>
  <sheetFormatPr defaultColWidth="12.6640625" defaultRowHeight="15.75" customHeight="1"/>
  <cols>
    <col min="1" max="1" width="15.21875" customWidth="1"/>
    <col min="2" max="2" width="10.77734375" customWidth="1"/>
    <col min="3" max="3" width="10.44140625" customWidth="1"/>
    <col min="4" max="4" width="54" customWidth="1"/>
    <col min="5" max="5" width="13.21875" customWidth="1"/>
    <col min="6" max="6" width="14.33203125" customWidth="1"/>
    <col min="7" max="7" width="9.77734375" customWidth="1"/>
    <col min="8" max="8" width="10.6640625" customWidth="1"/>
    <col min="9" max="9" width="13.33203125" customWidth="1"/>
    <col min="10" max="10" width="21" customWidth="1"/>
    <col min="11" max="11" width="19.44140625" customWidth="1"/>
    <col min="12" max="12" width="15.44140625" customWidth="1"/>
    <col min="13" max="13" width="12.88671875" customWidth="1"/>
    <col min="14" max="14" width="23.109375" customWidth="1"/>
    <col min="15" max="15" width="24.21875" customWidth="1"/>
  </cols>
  <sheetData>
    <row r="1" spans="1:15">
      <c r="A1" s="14" t="s">
        <v>0</v>
      </c>
      <c r="B1" s="15" t="s">
        <v>110</v>
      </c>
      <c r="C1" s="16" t="s">
        <v>159</v>
      </c>
      <c r="D1" s="14" t="s">
        <v>1</v>
      </c>
      <c r="E1" s="17" t="s">
        <v>2</v>
      </c>
      <c r="F1" s="17" t="s">
        <v>160</v>
      </c>
      <c r="G1" s="17" t="s">
        <v>4</v>
      </c>
      <c r="H1" s="17" t="s">
        <v>5</v>
      </c>
      <c r="I1" s="17" t="s">
        <v>6</v>
      </c>
      <c r="J1" s="18" t="s">
        <v>7</v>
      </c>
      <c r="K1" s="19" t="s">
        <v>161</v>
      </c>
      <c r="L1" s="17" t="s">
        <v>162</v>
      </c>
      <c r="M1" s="14" t="s">
        <v>163</v>
      </c>
      <c r="N1" s="17" t="s">
        <v>164</v>
      </c>
      <c r="O1" s="17"/>
    </row>
    <row r="2" spans="1:15">
      <c r="A2" s="20" t="s">
        <v>165</v>
      </c>
      <c r="B2" s="15">
        <v>45904</v>
      </c>
      <c r="C2" s="16">
        <v>0.36527777777777776</v>
      </c>
      <c r="D2" s="14" t="s">
        <v>166</v>
      </c>
      <c r="E2" s="17">
        <v>70</v>
      </c>
      <c r="F2" s="17">
        <v>3</v>
      </c>
      <c r="G2" s="17">
        <v>5</v>
      </c>
      <c r="H2" s="17">
        <v>90</v>
      </c>
      <c r="I2" s="17">
        <v>1945</v>
      </c>
      <c r="J2" s="18">
        <v>8.64</v>
      </c>
      <c r="K2" s="19">
        <f t="shared" ref="K2:K7" si="0">H2/I2*100</f>
        <v>4.6272493573264777</v>
      </c>
      <c r="L2" s="17">
        <v>1</v>
      </c>
      <c r="M2" s="14" t="s">
        <v>167</v>
      </c>
      <c r="N2" s="17">
        <v>0</v>
      </c>
      <c r="O2" s="17"/>
    </row>
    <row r="3" spans="1:15">
      <c r="A3" s="20" t="s">
        <v>168</v>
      </c>
      <c r="B3" s="15">
        <v>45905</v>
      </c>
      <c r="C3" s="16">
        <v>0.26527777777777778</v>
      </c>
      <c r="D3" s="14" t="s">
        <v>169</v>
      </c>
      <c r="E3" s="17">
        <v>29</v>
      </c>
      <c r="F3" s="17">
        <v>0</v>
      </c>
      <c r="G3" s="17">
        <v>6</v>
      </c>
      <c r="H3" s="17">
        <v>53</v>
      </c>
      <c r="I3" s="17">
        <v>1557</v>
      </c>
      <c r="J3" s="18">
        <v>5.65</v>
      </c>
      <c r="K3" s="19">
        <f t="shared" si="0"/>
        <v>3.4039820166987798</v>
      </c>
      <c r="L3" s="17">
        <v>2</v>
      </c>
      <c r="M3" s="14" t="s">
        <v>167</v>
      </c>
      <c r="N3" s="17">
        <v>0</v>
      </c>
      <c r="O3" s="17"/>
    </row>
    <row r="4" spans="1:15">
      <c r="A4" s="20" t="s">
        <v>170</v>
      </c>
      <c r="B4" s="15">
        <v>45907</v>
      </c>
      <c r="C4" s="16">
        <v>0.1875</v>
      </c>
      <c r="D4" s="14" t="s">
        <v>171</v>
      </c>
      <c r="E4" s="17">
        <v>12</v>
      </c>
      <c r="F4" s="17">
        <v>0</v>
      </c>
      <c r="G4" s="17">
        <v>0</v>
      </c>
      <c r="H4" s="17">
        <v>16</v>
      </c>
      <c r="I4" s="17">
        <v>898</v>
      </c>
      <c r="J4" s="18">
        <v>3.12</v>
      </c>
      <c r="K4" s="19">
        <f t="shared" si="0"/>
        <v>1.7817371937639197</v>
      </c>
      <c r="L4" s="17">
        <v>3</v>
      </c>
      <c r="M4" s="14" t="s">
        <v>167</v>
      </c>
      <c r="N4" s="17">
        <v>0</v>
      </c>
      <c r="O4" s="17"/>
    </row>
    <row r="5" spans="1:15">
      <c r="A5" s="20" t="s">
        <v>172</v>
      </c>
      <c r="B5" s="15">
        <v>45909</v>
      </c>
      <c r="C5" s="16">
        <v>0.26597222222222222</v>
      </c>
      <c r="D5" s="14" t="s">
        <v>173</v>
      </c>
      <c r="E5" s="17">
        <v>21</v>
      </c>
      <c r="F5" s="17">
        <v>0</v>
      </c>
      <c r="G5" s="17">
        <v>2</v>
      </c>
      <c r="H5" s="17">
        <v>18</v>
      </c>
      <c r="I5" s="17">
        <v>976</v>
      </c>
      <c r="J5" s="18">
        <v>4.2</v>
      </c>
      <c r="K5" s="19">
        <f t="shared" si="0"/>
        <v>1.8442622950819672</v>
      </c>
      <c r="L5" s="17">
        <v>4</v>
      </c>
      <c r="M5" s="14" t="s">
        <v>167</v>
      </c>
      <c r="N5" s="17">
        <v>0</v>
      </c>
      <c r="O5" s="17"/>
    </row>
    <row r="6" spans="1:15">
      <c r="A6" s="20" t="s">
        <v>174</v>
      </c>
      <c r="B6" s="15">
        <v>45911</v>
      </c>
      <c r="C6" s="16">
        <v>0.44513888888888886</v>
      </c>
      <c r="D6" s="14" t="s">
        <v>175</v>
      </c>
      <c r="E6" s="17">
        <v>25</v>
      </c>
      <c r="F6" s="17">
        <v>0</v>
      </c>
      <c r="G6" s="17">
        <v>2</v>
      </c>
      <c r="H6" s="17">
        <v>46</v>
      </c>
      <c r="I6" s="17">
        <v>1334</v>
      </c>
      <c r="J6" s="18">
        <v>5.47</v>
      </c>
      <c r="K6" s="19">
        <f t="shared" si="0"/>
        <v>3.4482758620689653</v>
      </c>
      <c r="L6" s="17">
        <v>5</v>
      </c>
      <c r="M6" s="14" t="s">
        <v>167</v>
      </c>
      <c r="N6" s="17">
        <v>0</v>
      </c>
      <c r="O6" s="17"/>
    </row>
    <row r="7" spans="1:15">
      <c r="A7" s="20" t="s">
        <v>176</v>
      </c>
      <c r="B7" s="15">
        <v>45913</v>
      </c>
      <c r="C7" s="16">
        <v>0.26944444444444443</v>
      </c>
      <c r="D7" s="14" t="s">
        <v>177</v>
      </c>
      <c r="E7" s="17">
        <v>44</v>
      </c>
      <c r="F7" s="17">
        <v>2</v>
      </c>
      <c r="G7" s="17">
        <v>5</v>
      </c>
      <c r="H7" s="17">
        <v>105</v>
      </c>
      <c r="I7" s="17">
        <v>2495</v>
      </c>
      <c r="J7" s="18">
        <v>6.25</v>
      </c>
      <c r="K7" s="19">
        <f t="shared" si="0"/>
        <v>4.2084168336673349</v>
      </c>
      <c r="L7" s="17">
        <v>6</v>
      </c>
      <c r="M7" s="14" t="s">
        <v>178</v>
      </c>
      <c r="N7" s="17">
        <v>0</v>
      </c>
      <c r="O7" s="17"/>
    </row>
    <row r="8" spans="1:15">
      <c r="A8" s="20" t="s">
        <v>179</v>
      </c>
      <c r="B8" s="15">
        <v>45916</v>
      </c>
      <c r="C8" s="16">
        <v>1.35</v>
      </c>
      <c r="D8" s="14" t="s">
        <v>8</v>
      </c>
      <c r="E8" s="17">
        <v>17</v>
      </c>
      <c r="F8" s="17">
        <v>0</v>
      </c>
      <c r="G8" s="17">
        <v>2</v>
      </c>
      <c r="H8" s="17">
        <v>380</v>
      </c>
      <c r="I8" s="17">
        <v>1236</v>
      </c>
      <c r="J8" s="18">
        <v>32.28</v>
      </c>
      <c r="K8" s="19">
        <v>30.744336570000002</v>
      </c>
      <c r="L8" s="17">
        <v>7</v>
      </c>
      <c r="M8" s="14" t="s">
        <v>180</v>
      </c>
      <c r="N8" s="17">
        <v>0</v>
      </c>
      <c r="O8" s="17"/>
    </row>
    <row r="9" spans="1:15">
      <c r="A9" s="20" t="s">
        <v>181</v>
      </c>
      <c r="B9" s="15">
        <v>45916</v>
      </c>
      <c r="C9" s="16">
        <v>1.5805555555555557</v>
      </c>
      <c r="D9" s="14" t="s">
        <v>9</v>
      </c>
      <c r="E9" s="17">
        <v>41</v>
      </c>
      <c r="F9" s="17">
        <v>1</v>
      </c>
      <c r="G9" s="17">
        <v>7</v>
      </c>
      <c r="H9" s="17">
        <v>1082</v>
      </c>
      <c r="I9" s="17">
        <v>2066</v>
      </c>
      <c r="J9" s="18">
        <v>54.74</v>
      </c>
      <c r="K9" s="19">
        <v>52.371732819999998</v>
      </c>
      <c r="L9" s="17">
        <v>8</v>
      </c>
      <c r="M9" s="14" t="s">
        <v>180</v>
      </c>
      <c r="N9" s="17">
        <v>0</v>
      </c>
      <c r="O9" s="17"/>
    </row>
    <row r="10" spans="1:15">
      <c r="A10" s="20" t="s">
        <v>182</v>
      </c>
      <c r="B10" s="15">
        <v>45917</v>
      </c>
      <c r="C10" s="16">
        <v>1.3347222222222221</v>
      </c>
      <c r="D10" s="14" t="s">
        <v>10</v>
      </c>
      <c r="E10" s="17">
        <v>20</v>
      </c>
      <c r="F10" s="17">
        <v>0</v>
      </c>
      <c r="G10" s="17">
        <v>0</v>
      </c>
      <c r="H10" s="17">
        <v>271</v>
      </c>
      <c r="I10" s="17">
        <v>1296</v>
      </c>
      <c r="J10" s="18">
        <v>22.45</v>
      </c>
      <c r="K10" s="19">
        <v>20.91049383</v>
      </c>
      <c r="L10" s="17">
        <v>9</v>
      </c>
      <c r="M10" s="14" t="s">
        <v>180</v>
      </c>
      <c r="N10" s="17">
        <v>0</v>
      </c>
      <c r="O10" s="17"/>
    </row>
    <row r="11" spans="1:15">
      <c r="A11" s="20" t="s">
        <v>183</v>
      </c>
      <c r="B11" s="15">
        <v>45917</v>
      </c>
      <c r="C11" s="16">
        <v>1.4923611111111112</v>
      </c>
      <c r="D11" s="14" t="s">
        <v>11</v>
      </c>
      <c r="E11" s="17">
        <v>21</v>
      </c>
      <c r="F11" s="17">
        <v>0</v>
      </c>
      <c r="G11" s="17">
        <v>0</v>
      </c>
      <c r="H11" s="17">
        <v>573</v>
      </c>
      <c r="I11" s="17">
        <v>1679</v>
      </c>
      <c r="J11" s="18">
        <v>35.380000000000003</v>
      </c>
      <c r="K11" s="19">
        <v>34.127456819999999</v>
      </c>
      <c r="L11" s="17">
        <v>10</v>
      </c>
      <c r="M11" s="14" t="s">
        <v>180</v>
      </c>
      <c r="N11" s="17">
        <v>0</v>
      </c>
      <c r="O11" s="17"/>
    </row>
    <row r="12" spans="1:15">
      <c r="A12" s="20" t="s">
        <v>184</v>
      </c>
      <c r="B12" s="15">
        <v>45920</v>
      </c>
      <c r="C12" s="16">
        <v>1.2465277777777777</v>
      </c>
      <c r="D12" s="14" t="s">
        <v>12</v>
      </c>
      <c r="E12" s="17">
        <v>29</v>
      </c>
      <c r="F12" s="17">
        <v>0</v>
      </c>
      <c r="G12" s="17">
        <v>3</v>
      </c>
      <c r="H12" s="17">
        <v>32</v>
      </c>
      <c r="I12" s="17">
        <v>958</v>
      </c>
      <c r="J12" s="18">
        <v>6.68</v>
      </c>
      <c r="K12" s="19">
        <v>3.340292276</v>
      </c>
      <c r="L12" s="17">
        <v>11</v>
      </c>
      <c r="M12" s="14" t="s">
        <v>178</v>
      </c>
      <c r="N12" s="17">
        <v>0</v>
      </c>
      <c r="O12" s="17"/>
    </row>
    <row r="13" spans="1:15">
      <c r="A13" s="20" t="s">
        <v>185</v>
      </c>
      <c r="B13" s="15">
        <v>45920</v>
      </c>
      <c r="C13" s="16">
        <v>1.4444444444444444</v>
      </c>
      <c r="D13" s="14" t="s">
        <v>14</v>
      </c>
      <c r="E13" s="17">
        <v>10</v>
      </c>
      <c r="F13" s="17">
        <v>0</v>
      </c>
      <c r="G13" s="17">
        <v>0</v>
      </c>
      <c r="H13" s="17">
        <v>26</v>
      </c>
      <c r="I13" s="17">
        <v>1056</v>
      </c>
      <c r="J13" s="18">
        <v>3.41</v>
      </c>
      <c r="K13" s="19">
        <v>2.462121212</v>
      </c>
      <c r="L13" s="17">
        <v>12</v>
      </c>
      <c r="M13" s="14" t="s">
        <v>167</v>
      </c>
      <c r="N13" s="17">
        <v>0</v>
      </c>
      <c r="O13" s="17"/>
    </row>
    <row r="14" spans="1:15">
      <c r="A14" s="20" t="s">
        <v>186</v>
      </c>
      <c r="B14" s="15">
        <v>45920</v>
      </c>
      <c r="C14" s="16">
        <v>1.4777777777777779</v>
      </c>
      <c r="D14" s="20" t="s">
        <v>187</v>
      </c>
      <c r="E14" s="17">
        <v>22</v>
      </c>
      <c r="F14" s="17">
        <v>0</v>
      </c>
      <c r="G14" s="17">
        <v>1</v>
      </c>
      <c r="H14" s="17">
        <v>53</v>
      </c>
      <c r="I14" s="17">
        <v>1158</v>
      </c>
      <c r="J14" s="18">
        <v>6.56</v>
      </c>
      <c r="K14" s="19">
        <v>4.5768566489999998</v>
      </c>
      <c r="L14" s="17">
        <v>13</v>
      </c>
      <c r="M14" s="14" t="s">
        <v>178</v>
      </c>
      <c r="N14" s="17">
        <v>0</v>
      </c>
      <c r="O14" s="17"/>
    </row>
    <row r="15" spans="1:15">
      <c r="A15" s="20" t="s">
        <v>188</v>
      </c>
      <c r="B15" s="15">
        <v>45922</v>
      </c>
      <c r="C15" s="16">
        <v>1.2736111111111112</v>
      </c>
      <c r="D15" s="20" t="s">
        <v>189</v>
      </c>
      <c r="E15" s="17">
        <v>27</v>
      </c>
      <c r="F15" s="17">
        <v>0</v>
      </c>
      <c r="G15" s="17">
        <v>3</v>
      </c>
      <c r="H15" s="17">
        <v>56</v>
      </c>
      <c r="I15" s="17">
        <v>1245</v>
      </c>
      <c r="J15" s="18">
        <v>6.91</v>
      </c>
      <c r="K15" s="19">
        <v>4.497991968</v>
      </c>
      <c r="L15" s="17">
        <v>14</v>
      </c>
      <c r="M15" s="14" t="s">
        <v>178</v>
      </c>
      <c r="N15" s="17">
        <v>0</v>
      </c>
      <c r="O15" s="17"/>
    </row>
    <row r="16" spans="1:15">
      <c r="A16" s="20" t="s">
        <v>190</v>
      </c>
      <c r="B16" s="15">
        <v>45922</v>
      </c>
      <c r="C16" s="16">
        <v>1.55</v>
      </c>
      <c r="D16" s="20" t="s">
        <v>191</v>
      </c>
      <c r="E16" s="17">
        <v>26</v>
      </c>
      <c r="F16" s="17">
        <v>0</v>
      </c>
      <c r="G16" s="17">
        <v>1</v>
      </c>
      <c r="H16" s="17">
        <v>38</v>
      </c>
      <c r="I16" s="17">
        <v>991</v>
      </c>
      <c r="J16" s="18">
        <v>6.56</v>
      </c>
      <c r="K16" s="19">
        <v>3.8345105949999998</v>
      </c>
      <c r="L16" s="17">
        <v>15</v>
      </c>
      <c r="M16" s="14" t="s">
        <v>178</v>
      </c>
      <c r="N16" s="17">
        <v>0</v>
      </c>
      <c r="O16" s="17"/>
    </row>
    <row r="17" spans="1:15">
      <c r="A17" s="20" t="s">
        <v>192</v>
      </c>
      <c r="B17" s="15">
        <v>45923</v>
      </c>
      <c r="C17" s="16">
        <v>1.2388888888888889</v>
      </c>
      <c r="D17" s="20" t="s">
        <v>193</v>
      </c>
      <c r="E17" s="17">
        <v>43</v>
      </c>
      <c r="F17" s="17">
        <v>0</v>
      </c>
      <c r="G17" s="17">
        <v>3</v>
      </c>
      <c r="H17" s="17">
        <v>100</v>
      </c>
      <c r="I17" s="17">
        <v>1657</v>
      </c>
      <c r="J17" s="18">
        <v>8.81</v>
      </c>
      <c r="K17" s="19">
        <v>6.0350030180000003</v>
      </c>
      <c r="L17" s="17">
        <v>16</v>
      </c>
      <c r="M17" s="14" t="s">
        <v>178</v>
      </c>
      <c r="N17" s="17">
        <v>0</v>
      </c>
      <c r="O17" s="17"/>
    </row>
    <row r="18" spans="1:15">
      <c r="A18" s="20" t="s">
        <v>194</v>
      </c>
      <c r="B18" s="15">
        <v>45923</v>
      </c>
      <c r="C18" s="16">
        <v>1.5208333333333335</v>
      </c>
      <c r="D18" s="14" t="s">
        <v>15</v>
      </c>
      <c r="E18" s="17">
        <v>11</v>
      </c>
      <c r="F18" s="17">
        <v>0</v>
      </c>
      <c r="G18" s="17">
        <v>0</v>
      </c>
      <c r="H18" s="17">
        <v>47</v>
      </c>
      <c r="I18" s="17">
        <v>824</v>
      </c>
      <c r="J18" s="18">
        <v>7.04</v>
      </c>
      <c r="K18" s="19">
        <v>5.7038834950000004</v>
      </c>
      <c r="L18" s="17">
        <v>17</v>
      </c>
      <c r="M18" s="14" t="s">
        <v>178</v>
      </c>
      <c r="N18" s="17">
        <v>1</v>
      </c>
      <c r="O18" s="17"/>
    </row>
    <row r="19" spans="1:15">
      <c r="A19" s="20" t="s">
        <v>195</v>
      </c>
      <c r="B19" s="15">
        <v>45925</v>
      </c>
      <c r="C19" s="16">
        <v>1.5249999999999999</v>
      </c>
      <c r="D19" s="14" t="s">
        <v>16</v>
      </c>
      <c r="E19" s="17">
        <v>12</v>
      </c>
      <c r="F19" s="17">
        <v>0</v>
      </c>
      <c r="G19" s="17">
        <v>1</v>
      </c>
      <c r="H19" s="17">
        <v>39</v>
      </c>
      <c r="I19" s="17">
        <v>814</v>
      </c>
      <c r="J19" s="18">
        <v>6.39</v>
      </c>
      <c r="K19" s="19">
        <v>4.7911547910000003</v>
      </c>
      <c r="L19" s="17">
        <v>18</v>
      </c>
      <c r="M19" s="14" t="s">
        <v>178</v>
      </c>
      <c r="N19" s="17">
        <v>0</v>
      </c>
      <c r="O19" s="17"/>
    </row>
    <row r="20" spans="1:15">
      <c r="A20" s="20" t="s">
        <v>196</v>
      </c>
      <c r="B20" s="15">
        <v>45927</v>
      </c>
      <c r="C20" s="16">
        <v>1.2472222222222222</v>
      </c>
      <c r="D20" s="14" t="s">
        <v>17</v>
      </c>
      <c r="E20" s="17">
        <v>139</v>
      </c>
      <c r="F20" s="17">
        <v>12</v>
      </c>
      <c r="G20" s="17">
        <v>18</v>
      </c>
      <c r="H20" s="17">
        <v>263</v>
      </c>
      <c r="I20" s="17">
        <v>5126</v>
      </c>
      <c r="J20" s="18">
        <v>8.43</v>
      </c>
      <c r="K20" s="19">
        <v>5.130706204</v>
      </c>
      <c r="L20" s="17">
        <v>19</v>
      </c>
      <c r="M20" s="14" t="s">
        <v>167</v>
      </c>
      <c r="N20" s="17">
        <v>6</v>
      </c>
      <c r="O20" s="17"/>
    </row>
    <row r="21" spans="1:15">
      <c r="A21" s="20" t="s">
        <v>197</v>
      </c>
      <c r="B21" s="15">
        <v>45930</v>
      </c>
      <c r="C21" s="16">
        <v>1.5166666666666666</v>
      </c>
      <c r="D21" s="20" t="s">
        <v>198</v>
      </c>
      <c r="E21" s="17">
        <v>10</v>
      </c>
      <c r="F21" s="17">
        <v>0</v>
      </c>
      <c r="G21" s="17">
        <v>0</v>
      </c>
      <c r="H21" s="17">
        <v>21</v>
      </c>
      <c r="I21" s="17">
        <v>816</v>
      </c>
      <c r="J21" s="18">
        <v>3.8</v>
      </c>
      <c r="K21" s="19">
        <v>2.5735294120000001</v>
      </c>
      <c r="L21" s="17">
        <v>20</v>
      </c>
      <c r="M21" s="14" t="s">
        <v>167</v>
      </c>
      <c r="N21" s="17">
        <v>0</v>
      </c>
      <c r="O21" s="17"/>
    </row>
    <row r="22" spans="1:15">
      <c r="A22" s="20" t="s">
        <v>199</v>
      </c>
      <c r="B22" s="15">
        <v>45931</v>
      </c>
      <c r="C22" s="16">
        <v>1.2534722222222223</v>
      </c>
      <c r="D22" s="20" t="s">
        <v>200</v>
      </c>
      <c r="E22" s="17">
        <v>29</v>
      </c>
      <c r="F22" s="17">
        <v>0</v>
      </c>
      <c r="G22" s="17">
        <v>1</v>
      </c>
      <c r="H22" s="17">
        <v>37</v>
      </c>
      <c r="I22" s="17">
        <v>1129</v>
      </c>
      <c r="J22" s="18">
        <v>5.93</v>
      </c>
      <c r="K22" s="19">
        <v>3.2772364920000001</v>
      </c>
      <c r="L22" s="17">
        <v>21</v>
      </c>
      <c r="M22" s="14" t="s">
        <v>167</v>
      </c>
      <c r="N22" s="17">
        <v>0</v>
      </c>
      <c r="O22" s="17"/>
    </row>
    <row r="23" spans="1:15">
      <c r="A23" s="20" t="s">
        <v>201</v>
      </c>
      <c r="B23" s="15">
        <v>45932</v>
      </c>
      <c r="C23" s="16">
        <v>1.1458333333333333</v>
      </c>
      <c r="D23" s="20" t="s">
        <v>202</v>
      </c>
      <c r="E23" s="17">
        <v>6</v>
      </c>
      <c r="F23" s="17">
        <v>0</v>
      </c>
      <c r="G23" s="17">
        <v>1</v>
      </c>
      <c r="H23" s="17">
        <v>30</v>
      </c>
      <c r="I23" s="17">
        <v>933</v>
      </c>
      <c r="J23" s="18">
        <v>3.97</v>
      </c>
      <c r="K23" s="19">
        <v>3.215434084</v>
      </c>
      <c r="L23" s="17">
        <v>22</v>
      </c>
      <c r="M23" s="14" t="s">
        <v>167</v>
      </c>
      <c r="N23" s="17">
        <v>0</v>
      </c>
      <c r="O23" s="17"/>
    </row>
    <row r="24" spans="1:15">
      <c r="A24" s="20" t="s">
        <v>203</v>
      </c>
      <c r="B24" s="15">
        <v>45934</v>
      </c>
      <c r="C24" s="16">
        <v>1.2347222222222223</v>
      </c>
      <c r="D24" s="20" t="s">
        <v>204</v>
      </c>
      <c r="E24" s="17">
        <v>11</v>
      </c>
      <c r="F24" s="17">
        <v>0</v>
      </c>
      <c r="G24" s="17">
        <v>1</v>
      </c>
      <c r="H24" s="17">
        <v>14</v>
      </c>
      <c r="I24" s="17">
        <v>782</v>
      </c>
      <c r="J24" s="18">
        <v>3.32</v>
      </c>
      <c r="K24" s="19">
        <v>1.79028133</v>
      </c>
      <c r="L24" s="17">
        <v>23</v>
      </c>
      <c r="M24" s="14" t="s">
        <v>167</v>
      </c>
      <c r="N24" s="17">
        <v>0</v>
      </c>
      <c r="O24" s="17"/>
    </row>
    <row r="25" spans="1:15">
      <c r="A25" s="20" t="s">
        <v>205</v>
      </c>
      <c r="B25" s="15">
        <v>45934</v>
      </c>
      <c r="C25" s="16">
        <v>1.3541666666666667</v>
      </c>
      <c r="D25" s="20" t="s">
        <v>206</v>
      </c>
      <c r="E25" s="17">
        <v>1</v>
      </c>
      <c r="F25" s="17">
        <v>0</v>
      </c>
      <c r="G25" s="17">
        <v>0</v>
      </c>
      <c r="H25" s="17">
        <v>14</v>
      </c>
      <c r="I25" s="17">
        <v>807</v>
      </c>
      <c r="J25" s="18">
        <v>1.86</v>
      </c>
      <c r="K25" s="19">
        <v>1.734820322</v>
      </c>
      <c r="L25" s="17">
        <v>24</v>
      </c>
      <c r="M25" s="14" t="s">
        <v>167</v>
      </c>
      <c r="N25" s="17">
        <v>0</v>
      </c>
      <c r="O25" s="17"/>
    </row>
    <row r="26" spans="1:15">
      <c r="A26" s="20" t="s">
        <v>207</v>
      </c>
      <c r="B26" s="15">
        <v>45934</v>
      </c>
      <c r="C26" s="16">
        <v>1.5763888888888888</v>
      </c>
      <c r="D26" s="20" t="s">
        <v>208</v>
      </c>
      <c r="E26" s="17">
        <v>18</v>
      </c>
      <c r="F26" s="17">
        <v>0</v>
      </c>
      <c r="G26" s="17">
        <v>0</v>
      </c>
      <c r="H26" s="17">
        <v>31</v>
      </c>
      <c r="I26" s="17">
        <v>1147</v>
      </c>
      <c r="J26" s="18">
        <v>4.2699999999999996</v>
      </c>
      <c r="K26" s="19">
        <v>2.7027027029999999</v>
      </c>
      <c r="L26" s="17">
        <v>25</v>
      </c>
      <c r="M26" s="14" t="s">
        <v>167</v>
      </c>
      <c r="N26" s="17">
        <v>0</v>
      </c>
      <c r="O26" s="17"/>
    </row>
    <row r="27" spans="1:15">
      <c r="A27" s="20" t="s">
        <v>209</v>
      </c>
      <c r="B27" s="15">
        <v>45936</v>
      </c>
      <c r="C27" s="16">
        <v>1.2680555555555555</v>
      </c>
      <c r="D27" s="20" t="s">
        <v>210</v>
      </c>
      <c r="E27" s="17">
        <v>8</v>
      </c>
      <c r="F27" s="17">
        <v>0</v>
      </c>
      <c r="G27" s="17">
        <v>0</v>
      </c>
      <c r="H27" s="17">
        <v>7</v>
      </c>
      <c r="I27" s="17">
        <v>643</v>
      </c>
      <c r="J27" s="18">
        <v>2.33</v>
      </c>
      <c r="K27" s="19">
        <v>1.0886469670000001</v>
      </c>
      <c r="L27" s="17">
        <v>26</v>
      </c>
      <c r="M27" s="14" t="s">
        <v>167</v>
      </c>
      <c r="N27" s="17">
        <v>1</v>
      </c>
      <c r="O27" s="17"/>
    </row>
    <row r="28" spans="1:15">
      <c r="A28" s="20" t="s">
        <v>211</v>
      </c>
      <c r="B28" s="15">
        <v>45937</v>
      </c>
      <c r="C28" s="16">
        <v>1.2888888888888888</v>
      </c>
      <c r="D28" s="20" t="s">
        <v>212</v>
      </c>
      <c r="E28" s="17">
        <v>6</v>
      </c>
      <c r="F28" s="17">
        <v>0</v>
      </c>
      <c r="G28" s="17">
        <v>1</v>
      </c>
      <c r="H28" s="17">
        <v>20</v>
      </c>
      <c r="I28" s="17">
        <v>859</v>
      </c>
      <c r="J28" s="18">
        <v>3.14</v>
      </c>
      <c r="K28" s="19">
        <v>2.3282887080000001</v>
      </c>
      <c r="L28" s="17">
        <v>27</v>
      </c>
      <c r="M28" s="14" t="s">
        <v>167</v>
      </c>
      <c r="N28" s="17">
        <v>0</v>
      </c>
      <c r="O28" s="17"/>
    </row>
    <row r="29" spans="1:15">
      <c r="A29" s="20" t="s">
        <v>213</v>
      </c>
      <c r="B29" s="15">
        <v>45937</v>
      </c>
      <c r="C29" s="16">
        <v>1.5770833333333334</v>
      </c>
      <c r="D29" s="20" t="s">
        <v>214</v>
      </c>
      <c r="E29" s="17">
        <v>1</v>
      </c>
      <c r="F29" s="17">
        <v>0</v>
      </c>
      <c r="G29" s="17">
        <v>0</v>
      </c>
      <c r="H29" s="17">
        <v>74</v>
      </c>
      <c r="I29" s="17">
        <v>3245</v>
      </c>
      <c r="J29" s="18">
        <v>2.31</v>
      </c>
      <c r="K29" s="19">
        <v>2.280431433</v>
      </c>
      <c r="L29" s="17">
        <v>28</v>
      </c>
      <c r="M29" s="14" t="s">
        <v>215</v>
      </c>
      <c r="N29" s="17">
        <v>0</v>
      </c>
      <c r="O29" s="17"/>
    </row>
    <row r="30" spans="1:15">
      <c r="A30" s="20" t="s">
        <v>216</v>
      </c>
      <c r="B30" s="15">
        <v>45938</v>
      </c>
      <c r="C30" s="16">
        <v>1.2368055555555555</v>
      </c>
      <c r="D30" s="14" t="s">
        <v>18</v>
      </c>
      <c r="E30" s="17">
        <v>5</v>
      </c>
      <c r="F30" s="17">
        <v>0</v>
      </c>
      <c r="G30" s="17">
        <v>1</v>
      </c>
      <c r="H30" s="17">
        <v>12</v>
      </c>
      <c r="I30" s="17">
        <v>1050</v>
      </c>
      <c r="J30" s="18">
        <v>1.71</v>
      </c>
      <c r="K30" s="19">
        <v>1.1428571430000001</v>
      </c>
      <c r="L30" s="17">
        <v>29</v>
      </c>
      <c r="M30" s="14" t="s">
        <v>167</v>
      </c>
      <c r="N30" s="17">
        <v>0</v>
      </c>
      <c r="O30" s="17"/>
    </row>
    <row r="31" spans="1:15">
      <c r="A31" s="20" t="s">
        <v>217</v>
      </c>
      <c r="B31" s="15">
        <v>45938</v>
      </c>
      <c r="C31" s="16">
        <v>1.2604166666666667</v>
      </c>
      <c r="D31" s="20" t="s">
        <v>218</v>
      </c>
      <c r="E31" s="17">
        <v>4</v>
      </c>
      <c r="F31" s="17">
        <v>0</v>
      </c>
      <c r="G31" s="17">
        <v>0</v>
      </c>
      <c r="H31" s="17">
        <v>13</v>
      </c>
      <c r="I31" s="17">
        <v>430</v>
      </c>
      <c r="J31" s="18">
        <v>3.95</v>
      </c>
      <c r="K31" s="19">
        <v>3.0232558140000001</v>
      </c>
      <c r="L31" s="17">
        <v>30</v>
      </c>
      <c r="M31" s="14" t="s">
        <v>167</v>
      </c>
      <c r="N31" s="17">
        <v>0</v>
      </c>
      <c r="O31" s="17"/>
    </row>
    <row r="32" spans="1:15">
      <c r="A32" s="20" t="s">
        <v>219</v>
      </c>
      <c r="B32" s="15">
        <v>45938</v>
      </c>
      <c r="C32" s="16">
        <v>1.4652777777777777</v>
      </c>
      <c r="D32" s="14" t="s">
        <v>19</v>
      </c>
      <c r="E32" s="17">
        <v>15</v>
      </c>
      <c r="F32" s="17">
        <v>0</v>
      </c>
      <c r="G32" s="17">
        <v>3</v>
      </c>
      <c r="H32" s="17">
        <v>48</v>
      </c>
      <c r="I32" s="17">
        <v>1101</v>
      </c>
      <c r="J32" s="18">
        <v>5.99</v>
      </c>
      <c r="K32" s="19">
        <v>4.3596730250000002</v>
      </c>
      <c r="L32" s="17">
        <v>31</v>
      </c>
      <c r="M32" s="14" t="s">
        <v>178</v>
      </c>
      <c r="N32" s="17">
        <v>0</v>
      </c>
      <c r="O32" s="17"/>
    </row>
    <row r="33" spans="1:15">
      <c r="A33" s="20" t="s">
        <v>220</v>
      </c>
      <c r="B33" s="15">
        <v>45939</v>
      </c>
      <c r="C33" s="16">
        <v>1.3347222222222221</v>
      </c>
      <c r="D33" s="20" t="s">
        <v>221</v>
      </c>
      <c r="E33" s="17">
        <v>9</v>
      </c>
      <c r="F33" s="17">
        <v>0</v>
      </c>
      <c r="G33" s="17">
        <v>1</v>
      </c>
      <c r="H33" s="17">
        <v>7</v>
      </c>
      <c r="I33" s="17">
        <v>500</v>
      </c>
      <c r="J33" s="18">
        <v>3.4</v>
      </c>
      <c r="K33" s="19">
        <v>1.4</v>
      </c>
      <c r="L33" s="17">
        <v>32</v>
      </c>
      <c r="M33" s="14" t="s">
        <v>167</v>
      </c>
      <c r="N33" s="17">
        <v>0</v>
      </c>
      <c r="O33" s="17"/>
    </row>
    <row r="34" spans="1:15">
      <c r="A34" s="20" t="s">
        <v>222</v>
      </c>
      <c r="B34" s="15">
        <v>45939</v>
      </c>
      <c r="C34" s="16">
        <v>1.5326388888888889</v>
      </c>
      <c r="D34" s="14" t="s">
        <v>20</v>
      </c>
      <c r="E34" s="17">
        <v>23</v>
      </c>
      <c r="F34" s="17">
        <v>0</v>
      </c>
      <c r="G34" s="17">
        <v>1</v>
      </c>
      <c r="H34" s="17">
        <v>460</v>
      </c>
      <c r="I34" s="17">
        <v>1364</v>
      </c>
      <c r="J34" s="18">
        <v>35.479999999999997</v>
      </c>
      <c r="K34" s="19">
        <v>33.724340179999999</v>
      </c>
      <c r="L34" s="17">
        <v>33</v>
      </c>
      <c r="M34" s="14" t="s">
        <v>180</v>
      </c>
      <c r="N34" s="17">
        <v>0</v>
      </c>
      <c r="O34" s="17"/>
    </row>
    <row r="35" spans="1:15">
      <c r="A35" s="20" t="s">
        <v>223</v>
      </c>
      <c r="B35" s="15">
        <v>45940</v>
      </c>
      <c r="C35" s="16">
        <v>1.2638888888888888</v>
      </c>
      <c r="D35" s="20" t="s">
        <v>224</v>
      </c>
      <c r="E35" s="17">
        <v>10</v>
      </c>
      <c r="F35" s="17">
        <v>0</v>
      </c>
      <c r="G35" s="17">
        <v>1</v>
      </c>
      <c r="H35" s="17">
        <v>12</v>
      </c>
      <c r="I35" s="17">
        <v>730</v>
      </c>
      <c r="J35" s="18">
        <v>3.15</v>
      </c>
      <c r="K35" s="19">
        <v>1.6438356160000001</v>
      </c>
      <c r="L35" s="17">
        <v>34</v>
      </c>
      <c r="M35" s="14" t="s">
        <v>167</v>
      </c>
      <c r="N35" s="17">
        <v>0</v>
      </c>
      <c r="O35" s="17"/>
    </row>
    <row r="36" spans="1:15">
      <c r="A36" s="20" t="s">
        <v>225</v>
      </c>
      <c r="B36" s="15">
        <v>45940</v>
      </c>
      <c r="C36" s="16">
        <v>1.4375</v>
      </c>
      <c r="D36" s="14" t="s">
        <v>21</v>
      </c>
      <c r="E36" s="17">
        <v>31</v>
      </c>
      <c r="F36" s="17">
        <v>0</v>
      </c>
      <c r="G36" s="17">
        <v>3</v>
      </c>
      <c r="H36" s="17">
        <v>53</v>
      </c>
      <c r="I36" s="17">
        <v>1340</v>
      </c>
      <c r="J36" s="18">
        <v>6.49</v>
      </c>
      <c r="K36" s="19">
        <v>3.9552238810000002</v>
      </c>
      <c r="L36" s="17">
        <v>35</v>
      </c>
      <c r="M36" s="14" t="s">
        <v>167</v>
      </c>
      <c r="N36" s="17">
        <v>0</v>
      </c>
      <c r="O36" s="17"/>
    </row>
    <row r="37" spans="1:15">
      <c r="A37" s="20" t="s">
        <v>226</v>
      </c>
      <c r="B37" s="15">
        <v>45940</v>
      </c>
      <c r="C37" s="16">
        <v>1.5069444444444444</v>
      </c>
      <c r="D37" s="14" t="s">
        <v>22</v>
      </c>
      <c r="E37" s="17">
        <v>26</v>
      </c>
      <c r="F37" s="17">
        <v>0</v>
      </c>
      <c r="G37" s="17">
        <v>1</v>
      </c>
      <c r="H37" s="17">
        <v>42</v>
      </c>
      <c r="I37" s="17">
        <v>1188</v>
      </c>
      <c r="J37" s="18">
        <v>5.81</v>
      </c>
      <c r="K37" s="19">
        <v>3.535353535</v>
      </c>
      <c r="L37" s="17">
        <v>36</v>
      </c>
      <c r="M37" s="14" t="s">
        <v>167</v>
      </c>
      <c r="N37" s="17">
        <v>0</v>
      </c>
      <c r="O37" s="17"/>
    </row>
    <row r="38" spans="1:15">
      <c r="A38" s="20" t="s">
        <v>227</v>
      </c>
      <c r="B38" s="15">
        <v>45941</v>
      </c>
      <c r="C38" s="16">
        <v>1.2402777777777778</v>
      </c>
      <c r="D38" s="20" t="s">
        <v>228</v>
      </c>
      <c r="E38" s="17">
        <v>0</v>
      </c>
      <c r="F38" s="17">
        <v>0</v>
      </c>
      <c r="G38" s="17">
        <v>0</v>
      </c>
      <c r="H38" s="17">
        <v>13</v>
      </c>
      <c r="I38" s="17">
        <v>655</v>
      </c>
      <c r="J38" s="18">
        <v>1.98</v>
      </c>
      <c r="K38" s="19">
        <v>1.984732824</v>
      </c>
      <c r="L38" s="17">
        <v>37</v>
      </c>
      <c r="M38" s="14" t="s">
        <v>167</v>
      </c>
      <c r="N38" s="17">
        <v>0</v>
      </c>
      <c r="O38" s="17"/>
    </row>
    <row r="39" spans="1:15">
      <c r="A39" s="20" t="s">
        <v>229</v>
      </c>
      <c r="B39" s="15">
        <v>45941</v>
      </c>
      <c r="C39" s="16">
        <v>1.2604166666666667</v>
      </c>
      <c r="D39" s="14" t="s">
        <v>23</v>
      </c>
      <c r="E39" s="17">
        <v>3</v>
      </c>
      <c r="F39" s="17">
        <v>0</v>
      </c>
      <c r="G39" s="17">
        <v>0</v>
      </c>
      <c r="H39" s="17">
        <v>22</v>
      </c>
      <c r="I39" s="17">
        <v>1475</v>
      </c>
      <c r="J39" s="18">
        <v>1.69</v>
      </c>
      <c r="K39" s="19">
        <v>1.491525424</v>
      </c>
      <c r="L39" s="17">
        <v>38</v>
      </c>
      <c r="M39" s="14" t="s">
        <v>167</v>
      </c>
      <c r="N39" s="17">
        <v>0</v>
      </c>
      <c r="O39" s="17"/>
    </row>
    <row r="40" spans="1:15">
      <c r="A40" s="20" t="s">
        <v>230</v>
      </c>
      <c r="B40" s="15">
        <v>45943</v>
      </c>
      <c r="C40" s="16">
        <v>1.2680555555555555</v>
      </c>
      <c r="D40" s="20" t="s">
        <v>231</v>
      </c>
      <c r="E40" s="17">
        <v>9</v>
      </c>
      <c r="F40" s="17">
        <v>0</v>
      </c>
      <c r="G40" s="17">
        <v>1</v>
      </c>
      <c r="H40" s="17">
        <v>12</v>
      </c>
      <c r="I40" s="17">
        <v>793</v>
      </c>
      <c r="J40" s="18">
        <v>2.77</v>
      </c>
      <c r="K40" s="19">
        <v>1.5132408580000001</v>
      </c>
      <c r="L40" s="17">
        <v>39</v>
      </c>
      <c r="M40" s="14" t="s">
        <v>167</v>
      </c>
      <c r="N40" s="17">
        <v>0</v>
      </c>
      <c r="O40" s="17"/>
    </row>
    <row r="41" spans="1:15">
      <c r="A41" s="20" t="s">
        <v>232</v>
      </c>
      <c r="B41" s="15">
        <v>45945</v>
      </c>
      <c r="C41" s="16">
        <v>1.2944444444444445</v>
      </c>
      <c r="D41" s="20" t="s">
        <v>233</v>
      </c>
      <c r="E41" s="17">
        <v>24</v>
      </c>
      <c r="F41" s="17">
        <v>0</v>
      </c>
      <c r="G41" s="17">
        <v>4</v>
      </c>
      <c r="H41" s="17">
        <v>46</v>
      </c>
      <c r="I41" s="17">
        <v>1409</v>
      </c>
      <c r="J41" s="18">
        <v>5.25</v>
      </c>
      <c r="K41" s="19">
        <v>3.264726757</v>
      </c>
      <c r="L41" s="17">
        <v>40</v>
      </c>
      <c r="M41" s="14" t="s">
        <v>167</v>
      </c>
      <c r="N41" s="17">
        <v>0</v>
      </c>
      <c r="O41" s="17"/>
    </row>
    <row r="42" spans="1:15">
      <c r="A42" s="20" t="s">
        <v>234</v>
      </c>
      <c r="B42" s="15">
        <v>45945</v>
      </c>
      <c r="C42" s="16">
        <v>1.5513888888888889</v>
      </c>
      <c r="D42" s="20" t="s">
        <v>235</v>
      </c>
      <c r="E42" s="17">
        <v>3</v>
      </c>
      <c r="F42" s="17">
        <v>0</v>
      </c>
      <c r="G42" s="17">
        <v>0</v>
      </c>
      <c r="H42" s="17">
        <v>8</v>
      </c>
      <c r="I42" s="17">
        <v>710</v>
      </c>
      <c r="J42" s="18">
        <v>1.55</v>
      </c>
      <c r="K42" s="19">
        <v>1.1267605629999999</v>
      </c>
      <c r="L42" s="17">
        <v>41</v>
      </c>
      <c r="M42" s="14" t="s">
        <v>167</v>
      </c>
      <c r="N42" s="17">
        <v>1</v>
      </c>
      <c r="O42" s="17"/>
    </row>
    <row r="43" spans="1:15">
      <c r="A43" s="20" t="s">
        <v>236</v>
      </c>
      <c r="B43" s="15">
        <v>45948</v>
      </c>
      <c r="C43" s="16">
        <v>1.4965277777777777</v>
      </c>
      <c r="D43" s="20" t="s">
        <v>237</v>
      </c>
      <c r="E43" s="17">
        <v>6</v>
      </c>
      <c r="F43" s="17">
        <v>0</v>
      </c>
      <c r="G43" s="17">
        <v>0</v>
      </c>
      <c r="H43" s="17">
        <v>14</v>
      </c>
      <c r="I43" s="17">
        <v>632</v>
      </c>
      <c r="J43" s="18">
        <v>3.16</v>
      </c>
      <c r="K43" s="19">
        <v>2.2151898729999999</v>
      </c>
      <c r="L43" s="17">
        <v>42</v>
      </c>
      <c r="M43" s="14" t="s">
        <v>167</v>
      </c>
      <c r="N43" s="17">
        <v>0</v>
      </c>
      <c r="O43" s="17"/>
    </row>
    <row r="44" spans="1:15">
      <c r="A44" s="20" t="s">
        <v>238</v>
      </c>
      <c r="B44" s="15">
        <v>45951</v>
      </c>
      <c r="C44" s="16">
        <v>1.5208333333333335</v>
      </c>
      <c r="D44" s="14" t="s">
        <v>24</v>
      </c>
      <c r="E44" s="17">
        <v>21</v>
      </c>
      <c r="F44" s="17">
        <v>0</v>
      </c>
      <c r="G44" s="17">
        <v>5</v>
      </c>
      <c r="H44" s="17">
        <v>207</v>
      </c>
      <c r="I44" s="17">
        <v>1250</v>
      </c>
      <c r="J44" s="18">
        <v>18.64</v>
      </c>
      <c r="K44" s="19">
        <v>16.559999999999999</v>
      </c>
      <c r="L44" s="17">
        <v>43</v>
      </c>
      <c r="M44" s="14" t="s">
        <v>180</v>
      </c>
      <c r="N44" s="17">
        <v>1</v>
      </c>
      <c r="O44" s="17"/>
    </row>
    <row r="45" spans="1:15">
      <c r="A45" s="20" t="s">
        <v>239</v>
      </c>
      <c r="B45" s="15">
        <v>45954</v>
      </c>
      <c r="C45" s="16">
        <v>1.2333333333333334</v>
      </c>
      <c r="D45" s="14" t="s">
        <v>25</v>
      </c>
      <c r="E45" s="17">
        <v>22</v>
      </c>
      <c r="F45" s="17">
        <v>0</v>
      </c>
      <c r="G45" s="17">
        <v>4</v>
      </c>
      <c r="H45" s="17">
        <v>166</v>
      </c>
      <c r="I45" s="17">
        <v>1272</v>
      </c>
      <c r="J45" s="18">
        <v>15.09</v>
      </c>
      <c r="K45" s="19">
        <v>13.05031447</v>
      </c>
      <c r="L45" s="17">
        <v>44</v>
      </c>
      <c r="M45" s="14" t="s">
        <v>180</v>
      </c>
      <c r="N45" s="17">
        <v>0</v>
      </c>
      <c r="O45" s="17"/>
    </row>
    <row r="46" spans="1:15">
      <c r="A46" s="20" t="s">
        <v>240</v>
      </c>
      <c r="B46" s="15">
        <v>45954</v>
      </c>
      <c r="C46" s="16">
        <v>1.4395833333333332</v>
      </c>
      <c r="D46" s="14" t="s">
        <v>26</v>
      </c>
      <c r="E46" s="17">
        <v>25</v>
      </c>
      <c r="F46" s="17">
        <v>0</v>
      </c>
      <c r="G46" s="17">
        <v>1</v>
      </c>
      <c r="H46" s="17">
        <v>14</v>
      </c>
      <c r="I46" s="17">
        <v>995</v>
      </c>
      <c r="J46" s="18">
        <v>4.0199999999999996</v>
      </c>
      <c r="K46" s="19">
        <v>1.4070351759999999</v>
      </c>
      <c r="L46" s="17">
        <v>45</v>
      </c>
      <c r="M46" s="14" t="s">
        <v>167</v>
      </c>
      <c r="N46" s="17">
        <v>3</v>
      </c>
      <c r="O46" s="17"/>
    </row>
    <row r="47" spans="1:15">
      <c r="A47" s="20" t="s">
        <v>241</v>
      </c>
      <c r="B47" s="15">
        <v>45955</v>
      </c>
      <c r="C47" s="16">
        <v>1.2236111111111112</v>
      </c>
      <c r="D47" s="14" t="s">
        <v>28</v>
      </c>
      <c r="E47" s="17">
        <v>17</v>
      </c>
      <c r="F47" s="17">
        <v>0</v>
      </c>
      <c r="G47" s="17">
        <v>1</v>
      </c>
      <c r="H47" s="17">
        <v>137</v>
      </c>
      <c r="I47" s="17">
        <v>1076</v>
      </c>
      <c r="J47" s="18">
        <v>14.41</v>
      </c>
      <c r="K47" s="19">
        <v>12.73234201</v>
      </c>
      <c r="L47" s="17">
        <v>46</v>
      </c>
      <c r="M47" s="14" t="s">
        <v>180</v>
      </c>
      <c r="N47" s="17">
        <v>2</v>
      </c>
      <c r="O47" s="17"/>
    </row>
    <row r="48" spans="1:15">
      <c r="A48" s="20" t="s">
        <v>242</v>
      </c>
      <c r="B48" s="15">
        <v>45955</v>
      </c>
      <c r="C48" s="16">
        <v>1.3958333333333333</v>
      </c>
      <c r="D48" s="14" t="s">
        <v>29</v>
      </c>
      <c r="E48" s="17">
        <v>25</v>
      </c>
      <c r="F48" s="17">
        <v>0</v>
      </c>
      <c r="G48" s="17">
        <v>1</v>
      </c>
      <c r="H48" s="17">
        <v>8</v>
      </c>
      <c r="I48" s="17">
        <v>1237</v>
      </c>
      <c r="J48" s="18">
        <v>2.75</v>
      </c>
      <c r="K48" s="19">
        <v>0.64672594999999999</v>
      </c>
      <c r="L48" s="17">
        <v>47</v>
      </c>
      <c r="M48" s="14" t="s">
        <v>167</v>
      </c>
      <c r="N48" s="17">
        <v>0</v>
      </c>
      <c r="O48" s="17"/>
    </row>
    <row r="49" spans="1:15">
      <c r="A49" s="20" t="s">
        <v>243</v>
      </c>
      <c r="B49" s="15">
        <v>45955</v>
      </c>
      <c r="C49" s="16">
        <v>1.5111111111111111</v>
      </c>
      <c r="D49" s="14" t="s">
        <v>30</v>
      </c>
      <c r="E49" s="17">
        <v>28</v>
      </c>
      <c r="F49" s="17">
        <v>0</v>
      </c>
      <c r="G49" s="17">
        <v>0</v>
      </c>
      <c r="H49" s="17">
        <v>41</v>
      </c>
      <c r="I49" s="17">
        <v>1475</v>
      </c>
      <c r="J49" s="18">
        <v>4.68</v>
      </c>
      <c r="K49" s="19">
        <v>2.779661017</v>
      </c>
      <c r="L49" s="17">
        <v>48</v>
      </c>
      <c r="M49" s="14" t="s">
        <v>167</v>
      </c>
      <c r="N49" s="17">
        <v>0</v>
      </c>
      <c r="O49" s="17"/>
    </row>
    <row r="50" spans="1:15">
      <c r="A50" s="20" t="s">
        <v>244</v>
      </c>
      <c r="B50" s="15">
        <v>45956</v>
      </c>
      <c r="C50" s="16">
        <v>1.1868055555555554</v>
      </c>
      <c r="D50" s="14" t="s">
        <v>31</v>
      </c>
      <c r="E50" s="17">
        <v>9</v>
      </c>
      <c r="F50" s="17">
        <v>0</v>
      </c>
      <c r="G50" s="17">
        <v>1</v>
      </c>
      <c r="H50" s="17">
        <v>10</v>
      </c>
      <c r="I50" s="17">
        <v>779</v>
      </c>
      <c r="J50" s="18">
        <v>2.57</v>
      </c>
      <c r="K50" s="19">
        <v>1.283697047</v>
      </c>
      <c r="L50" s="17">
        <v>49</v>
      </c>
      <c r="M50" s="14" t="s">
        <v>167</v>
      </c>
      <c r="N50" s="17">
        <v>0</v>
      </c>
      <c r="O50" s="17"/>
    </row>
    <row r="51" spans="1:15">
      <c r="A51" s="20" t="s">
        <v>245</v>
      </c>
      <c r="B51" s="15">
        <v>45958</v>
      </c>
      <c r="C51" s="16">
        <v>1.5583333333333333</v>
      </c>
      <c r="D51" s="14" t="s">
        <v>32</v>
      </c>
      <c r="E51" s="17">
        <v>10</v>
      </c>
      <c r="F51" s="17">
        <v>0</v>
      </c>
      <c r="G51" s="17">
        <v>0</v>
      </c>
      <c r="H51" s="17">
        <v>7</v>
      </c>
      <c r="I51" s="17">
        <v>580</v>
      </c>
      <c r="J51" s="18">
        <v>2.93</v>
      </c>
      <c r="K51" s="19">
        <v>1.2068965519999999</v>
      </c>
      <c r="L51" s="17">
        <v>50</v>
      </c>
      <c r="M51" s="14" t="s">
        <v>167</v>
      </c>
      <c r="N51" s="17">
        <v>1</v>
      </c>
      <c r="O51" s="17"/>
    </row>
    <row r="52" spans="1:15">
      <c r="A52" s="20" t="s">
        <v>246</v>
      </c>
      <c r="B52" s="15">
        <v>45959</v>
      </c>
      <c r="C52" s="16">
        <v>1.6638888888888888</v>
      </c>
      <c r="D52" s="14" t="s">
        <v>33</v>
      </c>
      <c r="E52" s="17">
        <v>39</v>
      </c>
      <c r="F52" s="17">
        <v>2</v>
      </c>
      <c r="G52" s="17">
        <v>2</v>
      </c>
      <c r="H52" s="17">
        <v>769</v>
      </c>
      <c r="I52" s="17">
        <v>2364</v>
      </c>
      <c r="J52" s="18">
        <v>34.35</v>
      </c>
      <c r="K52" s="19">
        <v>32.529610830000003</v>
      </c>
      <c r="L52" s="17">
        <v>51</v>
      </c>
      <c r="M52" s="14" t="s">
        <v>180</v>
      </c>
      <c r="N52" s="17">
        <v>6</v>
      </c>
      <c r="O52" s="17"/>
    </row>
    <row r="53" spans="1:15">
      <c r="A53" s="20" t="s">
        <v>247</v>
      </c>
      <c r="B53" s="15">
        <v>45960</v>
      </c>
      <c r="C53" s="16">
        <v>1.4006944444444445</v>
      </c>
      <c r="D53" s="14" t="s">
        <v>34</v>
      </c>
      <c r="E53" s="17">
        <v>18</v>
      </c>
      <c r="F53" s="17">
        <v>0</v>
      </c>
      <c r="G53" s="17">
        <v>4</v>
      </c>
      <c r="H53" s="17">
        <v>18</v>
      </c>
      <c r="I53" s="17">
        <v>1153</v>
      </c>
      <c r="J53" s="18">
        <v>3.47</v>
      </c>
      <c r="K53" s="19">
        <v>1.5611448400000001</v>
      </c>
      <c r="L53" s="17">
        <v>52</v>
      </c>
      <c r="M53" s="14" t="s">
        <v>167</v>
      </c>
      <c r="N53" s="17">
        <v>0</v>
      </c>
      <c r="O53" s="17"/>
    </row>
    <row r="54" spans="1:15">
      <c r="A54" s="20" t="s">
        <v>248</v>
      </c>
      <c r="B54" s="15">
        <v>45960</v>
      </c>
      <c r="C54" s="16">
        <v>1.5368055555555555</v>
      </c>
      <c r="D54" s="14" t="s">
        <v>35</v>
      </c>
      <c r="E54" s="17">
        <v>24</v>
      </c>
      <c r="F54" s="17">
        <v>0</v>
      </c>
      <c r="G54" s="17">
        <v>4</v>
      </c>
      <c r="H54" s="17">
        <v>12</v>
      </c>
      <c r="I54" s="17">
        <v>1275</v>
      </c>
      <c r="J54" s="18">
        <v>3.14</v>
      </c>
      <c r="K54" s="19">
        <v>0.94117647100000001</v>
      </c>
      <c r="L54" s="17">
        <v>53</v>
      </c>
      <c r="M54" s="14" t="s">
        <v>178</v>
      </c>
      <c r="N54" s="17">
        <v>0</v>
      </c>
      <c r="O54" s="17"/>
    </row>
    <row r="55" spans="1:15">
      <c r="A55" s="20" t="s">
        <v>249</v>
      </c>
      <c r="B55" s="15">
        <v>45965</v>
      </c>
      <c r="C55" s="16">
        <v>1.5236111111111112</v>
      </c>
      <c r="D55" s="14" t="s">
        <v>36</v>
      </c>
      <c r="E55" s="17">
        <v>39</v>
      </c>
      <c r="F55" s="17">
        <v>0</v>
      </c>
      <c r="G55" s="17">
        <v>3</v>
      </c>
      <c r="H55" s="17">
        <v>541</v>
      </c>
      <c r="I55" s="17">
        <v>2298</v>
      </c>
      <c r="J55" s="18">
        <v>25.37</v>
      </c>
      <c r="K55" s="19">
        <v>23.542210619999999</v>
      </c>
      <c r="L55" s="17">
        <v>54</v>
      </c>
      <c r="M55" s="14" t="s">
        <v>180</v>
      </c>
      <c r="N55" s="17">
        <v>2</v>
      </c>
      <c r="O55" s="17"/>
    </row>
    <row r="56" spans="1:15">
      <c r="A56" s="20" t="s">
        <v>250</v>
      </c>
      <c r="B56" s="15">
        <v>45966</v>
      </c>
      <c r="C56" s="16">
        <v>1.5756944444444443</v>
      </c>
      <c r="D56" s="14" t="s">
        <v>37</v>
      </c>
      <c r="E56" s="17">
        <v>32</v>
      </c>
      <c r="F56" s="17">
        <v>0</v>
      </c>
      <c r="G56" s="17">
        <v>5</v>
      </c>
      <c r="H56" s="17">
        <v>24</v>
      </c>
      <c r="I56" s="17">
        <v>1051</v>
      </c>
      <c r="J56" s="18">
        <v>5.8</v>
      </c>
      <c r="K56" s="19">
        <v>2.283539486</v>
      </c>
      <c r="L56" s="17">
        <v>55</v>
      </c>
      <c r="M56" s="14" t="s">
        <v>178</v>
      </c>
      <c r="N56" s="17">
        <v>2</v>
      </c>
      <c r="O56" s="17"/>
    </row>
    <row r="57" spans="1:15">
      <c r="A57" s="20" t="s">
        <v>251</v>
      </c>
      <c r="B57" s="15">
        <v>45966</v>
      </c>
      <c r="C57" s="16">
        <v>1.5861111111111112</v>
      </c>
      <c r="D57" s="14" t="s">
        <v>38</v>
      </c>
      <c r="E57" s="17">
        <v>23</v>
      </c>
      <c r="F57" s="17">
        <v>0</v>
      </c>
      <c r="G57" s="17">
        <v>3</v>
      </c>
      <c r="H57" s="17">
        <v>454</v>
      </c>
      <c r="I57" s="17">
        <v>1548</v>
      </c>
      <c r="J57" s="18">
        <v>31.01</v>
      </c>
      <c r="K57" s="19">
        <v>29.328165370000001</v>
      </c>
      <c r="L57" s="17">
        <v>56</v>
      </c>
      <c r="M57" s="14" t="s">
        <v>180</v>
      </c>
      <c r="N57" s="17">
        <v>1</v>
      </c>
      <c r="O57" s="17"/>
    </row>
    <row r="58" spans="1:15">
      <c r="A58" s="20" t="s">
        <v>252</v>
      </c>
      <c r="B58" s="15">
        <v>45967</v>
      </c>
      <c r="C58" s="16">
        <v>1.3368055555555556</v>
      </c>
      <c r="D58" s="14" t="s">
        <v>39</v>
      </c>
      <c r="E58" s="17">
        <v>26</v>
      </c>
      <c r="F58" s="17">
        <v>2</v>
      </c>
      <c r="G58" s="17">
        <v>2</v>
      </c>
      <c r="H58" s="17">
        <v>755</v>
      </c>
      <c r="I58" s="17">
        <v>2272</v>
      </c>
      <c r="J58" s="18">
        <v>34.549999999999997</v>
      </c>
      <c r="K58" s="19">
        <v>33.2306338</v>
      </c>
      <c r="L58" s="17">
        <v>57</v>
      </c>
      <c r="M58" s="14" t="s">
        <v>180</v>
      </c>
      <c r="N58" s="17">
        <v>3</v>
      </c>
      <c r="O58" s="17"/>
    </row>
    <row r="59" spans="1:15">
      <c r="A59" s="20" t="s">
        <v>253</v>
      </c>
      <c r="B59" s="15">
        <v>45971</v>
      </c>
      <c r="C59" s="16">
        <v>1.463888888888889</v>
      </c>
      <c r="D59" s="14" t="s">
        <v>40</v>
      </c>
      <c r="E59" s="17">
        <v>19</v>
      </c>
      <c r="F59" s="17">
        <v>0</v>
      </c>
      <c r="G59" s="17">
        <v>1</v>
      </c>
      <c r="H59" s="17">
        <v>22</v>
      </c>
      <c r="I59" s="17">
        <v>882</v>
      </c>
      <c r="J59" s="18">
        <v>4.76</v>
      </c>
      <c r="K59" s="19">
        <v>2.494331066</v>
      </c>
      <c r="L59" s="17">
        <v>58</v>
      </c>
      <c r="M59" s="14" t="s">
        <v>167</v>
      </c>
      <c r="N59" s="17">
        <v>0</v>
      </c>
      <c r="O59" s="17"/>
    </row>
    <row r="60" spans="1:15">
      <c r="A60" s="20" t="s">
        <v>254</v>
      </c>
      <c r="B60" s="15">
        <v>45971</v>
      </c>
      <c r="C60" s="16">
        <v>1.567361111111111</v>
      </c>
      <c r="D60" s="14" t="s">
        <v>41</v>
      </c>
      <c r="E60" s="17">
        <v>13</v>
      </c>
      <c r="F60" s="17">
        <v>0</v>
      </c>
      <c r="G60" s="17">
        <v>0</v>
      </c>
      <c r="H60" s="17">
        <v>177</v>
      </c>
      <c r="I60" s="17">
        <v>1219</v>
      </c>
      <c r="J60" s="18">
        <v>15.59</v>
      </c>
      <c r="K60" s="19">
        <v>14.52009844</v>
      </c>
      <c r="L60" s="17">
        <v>59</v>
      </c>
      <c r="M60" s="14" t="s">
        <v>180</v>
      </c>
      <c r="N60" s="17">
        <v>0</v>
      </c>
      <c r="O60" s="17"/>
    </row>
    <row r="61" spans="1:15">
      <c r="A61" s="20" t="s">
        <v>255</v>
      </c>
      <c r="B61" s="15">
        <v>45972</v>
      </c>
      <c r="C61" s="16">
        <v>1.6409722222222223</v>
      </c>
      <c r="D61" s="14" t="s">
        <v>42</v>
      </c>
      <c r="E61" s="17">
        <v>17</v>
      </c>
      <c r="F61" s="17">
        <v>0</v>
      </c>
      <c r="G61" s="17">
        <v>1</v>
      </c>
      <c r="H61" s="17">
        <v>329</v>
      </c>
      <c r="I61" s="17">
        <v>1253</v>
      </c>
      <c r="J61" s="18">
        <v>27.69</v>
      </c>
      <c r="K61" s="19">
        <v>26.25698324</v>
      </c>
      <c r="L61" s="17">
        <v>60</v>
      </c>
      <c r="M61" s="14" t="s">
        <v>180</v>
      </c>
      <c r="N61" s="17">
        <v>0</v>
      </c>
      <c r="O61" s="17"/>
    </row>
    <row r="62" spans="1:15">
      <c r="A62" s="20" t="s">
        <v>256</v>
      </c>
      <c r="B62" s="15">
        <v>45973</v>
      </c>
      <c r="C62" s="16">
        <v>1.33125</v>
      </c>
      <c r="D62" s="14" t="s">
        <v>43</v>
      </c>
      <c r="E62" s="17">
        <v>9</v>
      </c>
      <c r="F62" s="17">
        <v>0</v>
      </c>
      <c r="G62" s="17">
        <v>0</v>
      </c>
      <c r="H62" s="17">
        <v>9</v>
      </c>
      <c r="I62" s="17">
        <v>547</v>
      </c>
      <c r="J62" s="18">
        <v>3.29</v>
      </c>
      <c r="K62" s="19">
        <v>1.6453382080000001</v>
      </c>
      <c r="L62" s="17">
        <v>61</v>
      </c>
      <c r="M62" s="14" t="s">
        <v>167</v>
      </c>
      <c r="N62" s="17">
        <v>0</v>
      </c>
      <c r="O62" s="17"/>
    </row>
    <row r="63" spans="1:15">
      <c r="A63" s="20" t="s">
        <v>257</v>
      </c>
      <c r="B63" s="15">
        <v>45973</v>
      </c>
      <c r="C63" s="16">
        <v>1.5027777777777778</v>
      </c>
      <c r="D63" s="14" t="s">
        <v>44</v>
      </c>
      <c r="E63" s="17">
        <v>12</v>
      </c>
      <c r="F63" s="17">
        <v>0</v>
      </c>
      <c r="G63" s="17">
        <v>2</v>
      </c>
      <c r="H63" s="17">
        <v>131</v>
      </c>
      <c r="I63" s="17">
        <v>809</v>
      </c>
      <c r="J63" s="18">
        <v>17.920000000000002</v>
      </c>
      <c r="K63" s="19">
        <v>16.192830659999998</v>
      </c>
      <c r="L63" s="17">
        <v>62</v>
      </c>
      <c r="M63" s="14" t="s">
        <v>180</v>
      </c>
      <c r="N63" s="17">
        <v>0</v>
      </c>
      <c r="O63" s="17"/>
    </row>
    <row r="64" spans="1:15">
      <c r="A64" s="20" t="s">
        <v>258</v>
      </c>
      <c r="B64" s="15">
        <v>45973</v>
      </c>
      <c r="C64" s="16">
        <v>1.5520833333333335</v>
      </c>
      <c r="D64" s="14" t="s">
        <v>45</v>
      </c>
      <c r="E64" s="17">
        <v>11</v>
      </c>
      <c r="F64" s="17">
        <v>0</v>
      </c>
      <c r="G64" s="17">
        <v>1</v>
      </c>
      <c r="H64" s="17">
        <v>352</v>
      </c>
      <c r="I64" s="17">
        <v>1316</v>
      </c>
      <c r="J64" s="18">
        <v>27.66</v>
      </c>
      <c r="K64" s="19">
        <v>26.747720359999999</v>
      </c>
      <c r="L64" s="17">
        <v>63</v>
      </c>
      <c r="M64" s="14" t="s">
        <v>180</v>
      </c>
      <c r="N64" s="17">
        <v>0</v>
      </c>
      <c r="O64" s="17"/>
    </row>
    <row r="65" spans="1:15">
      <c r="A65" s="20" t="s">
        <v>259</v>
      </c>
      <c r="B65" s="15">
        <v>45974</v>
      </c>
      <c r="C65" s="16">
        <v>1.5743055555555556</v>
      </c>
      <c r="D65" s="14" t="s">
        <v>46</v>
      </c>
      <c r="E65" s="17">
        <v>18</v>
      </c>
      <c r="F65" s="17">
        <v>0</v>
      </c>
      <c r="G65" s="17">
        <v>1</v>
      </c>
      <c r="H65" s="17">
        <v>13</v>
      </c>
      <c r="I65" s="17">
        <v>966</v>
      </c>
      <c r="J65" s="18">
        <v>3.31</v>
      </c>
      <c r="K65" s="19">
        <v>1.3457556939999999</v>
      </c>
      <c r="L65" s="17">
        <v>64</v>
      </c>
      <c r="M65" s="14" t="s">
        <v>167</v>
      </c>
      <c r="N65" s="17">
        <v>2</v>
      </c>
      <c r="O65" s="17"/>
    </row>
    <row r="66" spans="1:15">
      <c r="A66" s="20" t="s">
        <v>260</v>
      </c>
      <c r="B66" s="15">
        <v>45974</v>
      </c>
      <c r="C66" s="16">
        <v>1.6145833333333335</v>
      </c>
      <c r="D66" s="14" t="s">
        <v>47</v>
      </c>
      <c r="E66" s="17">
        <v>24</v>
      </c>
      <c r="F66" s="17">
        <v>0</v>
      </c>
      <c r="G66" s="17">
        <v>2</v>
      </c>
      <c r="H66" s="17">
        <v>374</v>
      </c>
      <c r="I66" s="17">
        <v>1447</v>
      </c>
      <c r="J66" s="18">
        <v>27.64</v>
      </c>
      <c r="K66" s="19">
        <v>25.846579129999999</v>
      </c>
      <c r="L66" s="17">
        <v>65</v>
      </c>
      <c r="M66" s="14" t="s">
        <v>180</v>
      </c>
      <c r="N66" s="17">
        <v>0</v>
      </c>
      <c r="O66" s="17"/>
    </row>
    <row r="67" spans="1:15">
      <c r="A67" s="20" t="s">
        <v>261</v>
      </c>
      <c r="B67" s="15">
        <v>45976</v>
      </c>
      <c r="C67" s="16">
        <v>1.4826388888888888</v>
      </c>
      <c r="D67" s="14" t="s">
        <v>48</v>
      </c>
      <c r="E67" s="17">
        <v>21</v>
      </c>
      <c r="F67" s="17">
        <v>0</v>
      </c>
      <c r="G67" s="17">
        <v>1</v>
      </c>
      <c r="H67" s="17">
        <v>31</v>
      </c>
      <c r="I67" s="17">
        <v>1081</v>
      </c>
      <c r="J67" s="18">
        <v>4.9000000000000004</v>
      </c>
      <c r="K67" s="19">
        <v>2.8677150789999999</v>
      </c>
      <c r="L67" s="17">
        <v>66</v>
      </c>
      <c r="M67" s="14" t="s">
        <v>167</v>
      </c>
      <c r="N67" s="17">
        <v>0</v>
      </c>
      <c r="O67" s="17"/>
    </row>
    <row r="68" spans="1:15">
      <c r="A68" s="20" t="s">
        <v>262</v>
      </c>
      <c r="B68" s="15">
        <v>45979</v>
      </c>
      <c r="C68" s="16">
        <v>1.6125</v>
      </c>
      <c r="D68" s="14" t="s">
        <v>49</v>
      </c>
      <c r="E68" s="17">
        <v>66</v>
      </c>
      <c r="F68" s="17">
        <v>2</v>
      </c>
      <c r="G68" s="17">
        <v>8</v>
      </c>
      <c r="H68" s="17">
        <v>187</v>
      </c>
      <c r="I68" s="17">
        <v>2860</v>
      </c>
      <c r="J68" s="18">
        <v>9.1999999999999993</v>
      </c>
      <c r="K68" s="19">
        <v>6.538461538</v>
      </c>
      <c r="L68" s="17">
        <v>67</v>
      </c>
      <c r="M68" s="14" t="s">
        <v>178</v>
      </c>
      <c r="N68" s="17">
        <v>1</v>
      </c>
      <c r="O68" s="17"/>
    </row>
    <row r="69" spans="1:15">
      <c r="A69" s="20" t="s">
        <v>263</v>
      </c>
      <c r="B69" s="15">
        <v>45980</v>
      </c>
      <c r="C69" s="16">
        <v>1.3041666666666667</v>
      </c>
      <c r="D69" s="14" t="s">
        <v>50</v>
      </c>
      <c r="E69" s="17">
        <v>47</v>
      </c>
      <c r="F69" s="17">
        <v>0</v>
      </c>
      <c r="G69" s="17">
        <v>3</v>
      </c>
      <c r="H69" s="17">
        <v>59</v>
      </c>
      <c r="I69" s="17">
        <v>1211</v>
      </c>
      <c r="J69" s="18">
        <v>9</v>
      </c>
      <c r="K69" s="19">
        <v>4.8720066060000002</v>
      </c>
      <c r="L69" s="17">
        <v>68</v>
      </c>
      <c r="M69" s="14" t="s">
        <v>167</v>
      </c>
      <c r="N69" s="17">
        <v>2</v>
      </c>
      <c r="O69" s="17"/>
    </row>
    <row r="70" spans="1:15">
      <c r="A70" s="20" t="s">
        <v>264</v>
      </c>
      <c r="B70" s="15">
        <v>45980</v>
      </c>
      <c r="C70" s="16">
        <v>1.3243055555555556</v>
      </c>
      <c r="D70" s="14" t="s">
        <v>51</v>
      </c>
      <c r="E70" s="17">
        <v>29</v>
      </c>
      <c r="F70" s="17">
        <v>0</v>
      </c>
      <c r="G70" s="17">
        <v>2</v>
      </c>
      <c r="H70" s="17">
        <v>81</v>
      </c>
      <c r="I70" s="17">
        <v>1318</v>
      </c>
      <c r="J70" s="18">
        <v>8.5</v>
      </c>
      <c r="K70" s="19">
        <v>6.1456752659999996</v>
      </c>
      <c r="L70" s="17">
        <v>69</v>
      </c>
      <c r="M70" s="14" t="s">
        <v>167</v>
      </c>
      <c r="N70" s="17">
        <v>0</v>
      </c>
      <c r="O70" s="17"/>
    </row>
    <row r="71" spans="1:15">
      <c r="A71" s="20" t="s">
        <v>265</v>
      </c>
      <c r="B71" s="15">
        <v>45980</v>
      </c>
      <c r="C71" s="16">
        <v>1.4333333333333333</v>
      </c>
      <c r="D71" s="14" t="s">
        <v>52</v>
      </c>
      <c r="E71" s="17">
        <v>48</v>
      </c>
      <c r="F71" s="17">
        <v>2</v>
      </c>
      <c r="G71" s="17">
        <v>2</v>
      </c>
      <c r="H71" s="17">
        <v>1240</v>
      </c>
      <c r="I71" s="17">
        <v>2746</v>
      </c>
      <c r="J71" s="18">
        <v>47.05</v>
      </c>
      <c r="K71" s="19">
        <v>45.156591409999997</v>
      </c>
      <c r="L71" s="17">
        <v>70</v>
      </c>
      <c r="M71" s="14" t="s">
        <v>180</v>
      </c>
      <c r="N71" s="17">
        <v>0</v>
      </c>
      <c r="O71" s="17"/>
    </row>
    <row r="72" spans="1:15">
      <c r="A72" s="20" t="s">
        <v>266</v>
      </c>
      <c r="B72" s="15">
        <v>45982</v>
      </c>
      <c r="C72" s="16">
        <v>1.4611111111111112</v>
      </c>
      <c r="D72" s="14" t="s">
        <v>53</v>
      </c>
      <c r="E72" s="17">
        <v>37</v>
      </c>
      <c r="F72" s="17">
        <v>0</v>
      </c>
      <c r="G72" s="17">
        <v>3</v>
      </c>
      <c r="H72" s="17">
        <v>60</v>
      </c>
      <c r="I72" s="17">
        <v>1523</v>
      </c>
      <c r="J72" s="18">
        <v>6.57</v>
      </c>
      <c r="K72" s="19">
        <v>3.9395929089999999</v>
      </c>
      <c r="L72" s="17">
        <v>71</v>
      </c>
      <c r="M72" s="14" t="s">
        <v>167</v>
      </c>
      <c r="N72" s="17">
        <v>1</v>
      </c>
      <c r="O72" s="17"/>
    </row>
    <row r="73" spans="1:15">
      <c r="A73" s="20" t="s">
        <v>267</v>
      </c>
      <c r="B73" s="15">
        <v>45982</v>
      </c>
      <c r="C73" s="16">
        <v>1.625</v>
      </c>
      <c r="D73" s="14" t="s">
        <v>54</v>
      </c>
      <c r="E73" s="17">
        <v>30</v>
      </c>
      <c r="F73" s="17">
        <v>0</v>
      </c>
      <c r="G73" s="17">
        <v>6</v>
      </c>
      <c r="H73" s="17">
        <v>749</v>
      </c>
      <c r="I73" s="17">
        <v>2307</v>
      </c>
      <c r="J73" s="18">
        <v>34.03</v>
      </c>
      <c r="K73" s="19">
        <v>32.466406589999998</v>
      </c>
      <c r="L73" s="17">
        <v>72</v>
      </c>
      <c r="M73" s="14" t="s">
        <v>180</v>
      </c>
      <c r="N73" s="17">
        <v>2</v>
      </c>
      <c r="O73" s="17"/>
    </row>
    <row r="74" spans="1:15">
      <c r="A74" s="20" t="s">
        <v>268</v>
      </c>
      <c r="B74" s="15">
        <v>45986</v>
      </c>
      <c r="C74" s="16">
        <v>1.6381944444444443</v>
      </c>
      <c r="D74" s="14" t="s">
        <v>55</v>
      </c>
      <c r="E74" s="17">
        <v>16</v>
      </c>
      <c r="F74" s="17">
        <v>0</v>
      </c>
      <c r="G74" s="17">
        <v>2</v>
      </c>
      <c r="H74" s="17">
        <v>25</v>
      </c>
      <c r="I74" s="17">
        <v>1070</v>
      </c>
      <c r="J74" s="18">
        <v>4.0199999999999996</v>
      </c>
      <c r="K74" s="19">
        <v>2.336448598</v>
      </c>
      <c r="L74" s="17">
        <v>73</v>
      </c>
      <c r="M74" s="14" t="s">
        <v>178</v>
      </c>
      <c r="N74" s="17">
        <v>0</v>
      </c>
      <c r="O74" s="17"/>
    </row>
    <row r="75" spans="1:15">
      <c r="A75" s="20" t="s">
        <v>269</v>
      </c>
      <c r="B75" s="15">
        <v>45989</v>
      </c>
      <c r="C75" s="16">
        <v>1.5256944444444445</v>
      </c>
      <c r="D75" s="14" t="s">
        <v>56</v>
      </c>
      <c r="E75" s="17">
        <v>27</v>
      </c>
      <c r="F75" s="17">
        <v>0</v>
      </c>
      <c r="G75" s="17">
        <v>7</v>
      </c>
      <c r="H75" s="17">
        <v>771</v>
      </c>
      <c r="I75" s="17">
        <v>1863</v>
      </c>
      <c r="J75" s="18">
        <v>43.21</v>
      </c>
      <c r="K75" s="19">
        <v>41.384863119999999</v>
      </c>
      <c r="L75" s="17">
        <v>74</v>
      </c>
      <c r="M75" s="14" t="s">
        <v>180</v>
      </c>
      <c r="N75" s="17">
        <v>3</v>
      </c>
      <c r="O75" s="17"/>
    </row>
    <row r="76" spans="1:15">
      <c r="A76" s="20" t="s">
        <v>270</v>
      </c>
      <c r="B76" s="15">
        <v>45992</v>
      </c>
      <c r="C76" s="16">
        <v>1.55</v>
      </c>
      <c r="D76" s="14" t="s">
        <v>57</v>
      </c>
      <c r="E76" s="17">
        <v>23</v>
      </c>
      <c r="F76" s="17">
        <v>0</v>
      </c>
      <c r="G76" s="17">
        <v>3</v>
      </c>
      <c r="H76" s="17">
        <v>533</v>
      </c>
      <c r="I76" s="17">
        <v>1872</v>
      </c>
      <c r="J76" s="18">
        <v>29.86</v>
      </c>
      <c r="K76" s="19">
        <v>28.472222219999999</v>
      </c>
      <c r="L76" s="17">
        <v>75</v>
      </c>
      <c r="M76" s="14" t="s">
        <v>180</v>
      </c>
      <c r="N76" s="17">
        <v>2</v>
      </c>
      <c r="O76" s="17"/>
    </row>
    <row r="77" spans="1:15">
      <c r="A77" s="20" t="s">
        <v>271</v>
      </c>
      <c r="B77" s="15">
        <v>45996</v>
      </c>
      <c r="C77" s="16">
        <v>1.2395833333333333</v>
      </c>
      <c r="D77" s="14" t="s">
        <v>58</v>
      </c>
      <c r="E77" s="17">
        <v>21</v>
      </c>
      <c r="F77" s="17">
        <v>0</v>
      </c>
      <c r="G77" s="17">
        <v>1</v>
      </c>
      <c r="H77" s="17">
        <v>31</v>
      </c>
      <c r="I77" s="17">
        <v>845</v>
      </c>
      <c r="J77" s="18">
        <v>6.27</v>
      </c>
      <c r="K77" s="19">
        <v>3.6686390530000001</v>
      </c>
      <c r="L77" s="17">
        <v>76</v>
      </c>
      <c r="M77" s="14" t="s">
        <v>167</v>
      </c>
      <c r="N77" s="17">
        <v>0</v>
      </c>
      <c r="O77" s="17"/>
    </row>
    <row r="78" spans="1:15">
      <c r="A78" s="20" t="s">
        <v>272</v>
      </c>
      <c r="B78" s="15">
        <v>45996</v>
      </c>
      <c r="C78" s="16">
        <v>1.5465277777777777</v>
      </c>
      <c r="D78" s="14" t="s">
        <v>59</v>
      </c>
      <c r="E78" s="17">
        <v>12</v>
      </c>
      <c r="F78" s="17">
        <v>0</v>
      </c>
      <c r="G78" s="17">
        <v>1</v>
      </c>
      <c r="H78" s="17">
        <v>27</v>
      </c>
      <c r="I78" s="17">
        <v>807</v>
      </c>
      <c r="J78" s="18">
        <v>4.96</v>
      </c>
      <c r="K78" s="19">
        <v>3.3457249070000001</v>
      </c>
      <c r="L78" s="17">
        <v>77</v>
      </c>
      <c r="M78" s="14" t="s">
        <v>167</v>
      </c>
      <c r="N78" s="17">
        <v>0</v>
      </c>
      <c r="O78" s="17"/>
    </row>
    <row r="79" spans="1:15">
      <c r="A79" s="20" t="s">
        <v>273</v>
      </c>
      <c r="B79" s="15">
        <v>45997</v>
      </c>
      <c r="C79" s="16">
        <v>1.5916666666666668</v>
      </c>
      <c r="D79" s="14" t="s">
        <v>60</v>
      </c>
      <c r="E79" s="17">
        <v>112</v>
      </c>
      <c r="F79" s="17">
        <v>16</v>
      </c>
      <c r="G79" s="17">
        <v>2</v>
      </c>
      <c r="H79" s="17">
        <v>419</v>
      </c>
      <c r="I79" s="17">
        <v>6460</v>
      </c>
      <c r="J79" s="18">
        <v>8.5</v>
      </c>
      <c r="K79" s="19">
        <v>6.4860681109999998</v>
      </c>
      <c r="L79" s="17">
        <v>78</v>
      </c>
      <c r="M79" s="14" t="s">
        <v>167</v>
      </c>
      <c r="N79" s="17">
        <v>14</v>
      </c>
      <c r="O79" s="17"/>
    </row>
    <row r="80" spans="1:15">
      <c r="A80" s="20" t="s">
        <v>274</v>
      </c>
      <c r="B80" s="15">
        <v>45999</v>
      </c>
      <c r="C80" s="16">
        <v>1.4354166666666668</v>
      </c>
      <c r="D80" s="14" t="s">
        <v>61</v>
      </c>
      <c r="E80" s="17">
        <v>42</v>
      </c>
      <c r="F80" s="17">
        <v>1</v>
      </c>
      <c r="G80" s="17">
        <v>2</v>
      </c>
      <c r="H80" s="17">
        <v>108</v>
      </c>
      <c r="I80" s="17">
        <v>1931</v>
      </c>
      <c r="J80" s="18">
        <v>7.92</v>
      </c>
      <c r="K80" s="19">
        <v>5.5929570169999998</v>
      </c>
      <c r="L80" s="17">
        <v>79</v>
      </c>
      <c r="M80" s="14" t="s">
        <v>167</v>
      </c>
      <c r="N80" s="17">
        <v>0</v>
      </c>
      <c r="O80" s="17"/>
    </row>
    <row r="81" spans="1:15">
      <c r="A81" s="20" t="s">
        <v>275</v>
      </c>
      <c r="B81" s="15">
        <v>45999</v>
      </c>
      <c r="C81" s="16">
        <v>1.5625</v>
      </c>
      <c r="D81" s="14" t="s">
        <v>62</v>
      </c>
      <c r="E81" s="17">
        <v>11</v>
      </c>
      <c r="F81" s="17">
        <v>0</v>
      </c>
      <c r="G81" s="17">
        <v>0</v>
      </c>
      <c r="H81" s="17">
        <v>20</v>
      </c>
      <c r="I81" s="17">
        <v>862</v>
      </c>
      <c r="J81" s="18">
        <v>3.6</v>
      </c>
      <c r="K81" s="19">
        <v>2.3201856150000002</v>
      </c>
      <c r="L81" s="17">
        <v>80</v>
      </c>
      <c r="M81" s="14" t="s">
        <v>167</v>
      </c>
      <c r="N81" s="17">
        <v>1</v>
      </c>
      <c r="O81" s="17"/>
    </row>
    <row r="82" spans="1:15">
      <c r="A82" s="20" t="s">
        <v>276</v>
      </c>
      <c r="B82" s="15">
        <v>46001</v>
      </c>
      <c r="C82" s="16">
        <v>1.5013888888888889</v>
      </c>
      <c r="D82" s="14" t="s">
        <v>63</v>
      </c>
      <c r="E82" s="17">
        <v>24</v>
      </c>
      <c r="F82" s="17">
        <v>0</v>
      </c>
      <c r="G82" s="17">
        <v>0</v>
      </c>
      <c r="H82" s="17">
        <v>72</v>
      </c>
      <c r="I82" s="17">
        <v>1194</v>
      </c>
      <c r="J82" s="18">
        <v>8.0399999999999991</v>
      </c>
      <c r="K82" s="19">
        <v>6.0301507540000001</v>
      </c>
      <c r="L82" s="17">
        <v>81</v>
      </c>
      <c r="M82" s="14" t="s">
        <v>167</v>
      </c>
      <c r="N82" s="17">
        <v>0</v>
      </c>
      <c r="O82" s="17"/>
    </row>
    <row r="83" spans="1:15">
      <c r="A83" s="20" t="s">
        <v>277</v>
      </c>
      <c r="B83" s="15">
        <v>46003</v>
      </c>
      <c r="C83" s="16">
        <v>1.6229166666666668</v>
      </c>
      <c r="D83" s="20" t="s">
        <v>278</v>
      </c>
      <c r="E83" s="17">
        <v>53</v>
      </c>
      <c r="F83" s="17">
        <v>0</v>
      </c>
      <c r="G83" s="17">
        <v>12</v>
      </c>
      <c r="H83" s="17">
        <v>160</v>
      </c>
      <c r="I83" s="17">
        <v>2743</v>
      </c>
      <c r="J83" s="18">
        <v>8.1999999999999993</v>
      </c>
      <c r="K83" s="19">
        <v>5.8330295300000001</v>
      </c>
      <c r="L83" s="17">
        <v>82</v>
      </c>
      <c r="M83" s="14" t="s">
        <v>167</v>
      </c>
      <c r="N83" s="17">
        <v>0</v>
      </c>
      <c r="O83" s="17"/>
    </row>
    <row r="84" spans="1:15">
      <c r="A84" s="21" t="s">
        <v>279</v>
      </c>
      <c r="B84" s="15">
        <v>46006</v>
      </c>
      <c r="C84" s="16">
        <v>1.5354166666666667</v>
      </c>
      <c r="D84" s="22" t="s">
        <v>64</v>
      </c>
      <c r="E84" s="14">
        <v>20</v>
      </c>
      <c r="F84" s="14">
        <v>0</v>
      </c>
      <c r="G84" s="14">
        <v>1</v>
      </c>
      <c r="H84" s="14">
        <v>23</v>
      </c>
      <c r="I84" s="14">
        <v>836</v>
      </c>
      <c r="J84" s="18">
        <v>5.26</v>
      </c>
      <c r="K84" s="19">
        <v>2.79</v>
      </c>
      <c r="L84" s="17">
        <v>83</v>
      </c>
      <c r="M84" s="22" t="s">
        <v>167</v>
      </c>
      <c r="N84" s="17">
        <v>0</v>
      </c>
      <c r="O84" s="17"/>
    </row>
    <row r="85" spans="1:15">
      <c r="A85" s="21" t="s">
        <v>280</v>
      </c>
      <c r="B85" s="15">
        <v>46006</v>
      </c>
      <c r="C85" s="16">
        <v>1.5625</v>
      </c>
      <c r="D85" s="22" t="s">
        <v>65</v>
      </c>
      <c r="E85" s="14">
        <v>13</v>
      </c>
      <c r="F85" s="14">
        <v>0</v>
      </c>
      <c r="G85" s="14">
        <v>1</v>
      </c>
      <c r="H85" s="14">
        <v>254</v>
      </c>
      <c r="I85" s="17">
        <v>1120</v>
      </c>
      <c r="J85" s="18">
        <v>23.93</v>
      </c>
      <c r="K85" s="19">
        <v>22.16</v>
      </c>
      <c r="L85" s="17">
        <v>84</v>
      </c>
      <c r="M85" s="22" t="s">
        <v>180</v>
      </c>
      <c r="N85" s="17">
        <v>0</v>
      </c>
      <c r="O85" s="17"/>
    </row>
    <row r="86" spans="1:15">
      <c r="A86" s="21" t="s">
        <v>281</v>
      </c>
      <c r="B86" s="15">
        <v>46007</v>
      </c>
      <c r="C86" s="16">
        <v>1.2326388888888888</v>
      </c>
      <c r="D86" s="22" t="s">
        <v>66</v>
      </c>
      <c r="E86" s="14">
        <v>21</v>
      </c>
      <c r="F86" s="14">
        <v>0</v>
      </c>
      <c r="G86" s="14">
        <v>1</v>
      </c>
      <c r="H86" s="14">
        <v>260</v>
      </c>
      <c r="I86" s="17">
        <v>1068</v>
      </c>
      <c r="J86" s="18">
        <v>26.4</v>
      </c>
      <c r="K86" s="19">
        <v>24.42</v>
      </c>
      <c r="L86" s="17">
        <v>85</v>
      </c>
      <c r="M86" s="22" t="s">
        <v>180</v>
      </c>
      <c r="N86" s="17">
        <v>0</v>
      </c>
      <c r="O86" s="17"/>
    </row>
    <row r="87" spans="1:15">
      <c r="A87" s="21" t="s">
        <v>282</v>
      </c>
      <c r="B87" s="15">
        <v>46007</v>
      </c>
      <c r="C87" s="16">
        <v>1.5381944444444444</v>
      </c>
      <c r="D87" s="21" t="s">
        <v>283</v>
      </c>
      <c r="E87" s="14">
        <v>33</v>
      </c>
      <c r="F87" s="14">
        <v>0</v>
      </c>
      <c r="G87" s="14">
        <v>2</v>
      </c>
      <c r="H87" s="14">
        <v>102</v>
      </c>
      <c r="I87" s="17">
        <v>2286</v>
      </c>
      <c r="J87" s="18">
        <v>5.99</v>
      </c>
      <c r="K87" s="19">
        <v>4.45</v>
      </c>
      <c r="L87" s="17">
        <v>86</v>
      </c>
      <c r="M87" s="22" t="s">
        <v>167</v>
      </c>
      <c r="N87" s="17">
        <v>0</v>
      </c>
      <c r="O87" s="17"/>
    </row>
    <row r="88" spans="1:15">
      <c r="A88" s="21" t="s">
        <v>284</v>
      </c>
      <c r="B88" s="15">
        <v>46008</v>
      </c>
      <c r="C88" s="16">
        <v>1.55</v>
      </c>
      <c r="D88" s="22" t="s">
        <v>67</v>
      </c>
      <c r="E88" s="14">
        <v>34</v>
      </c>
      <c r="F88" s="14">
        <v>0</v>
      </c>
      <c r="G88" s="14">
        <v>8</v>
      </c>
      <c r="H88" s="14">
        <v>409</v>
      </c>
      <c r="I88" s="17">
        <v>1772</v>
      </c>
      <c r="J88" s="18">
        <v>25.45</v>
      </c>
      <c r="K88" s="19">
        <v>24.3</v>
      </c>
      <c r="L88" s="17">
        <v>87</v>
      </c>
      <c r="M88" s="22" t="s">
        <v>180</v>
      </c>
      <c r="N88" s="17">
        <v>0</v>
      </c>
      <c r="O88" s="17"/>
    </row>
    <row r="89" spans="1:15">
      <c r="A89" s="21" t="s">
        <v>285</v>
      </c>
      <c r="B89" s="15">
        <v>46009</v>
      </c>
      <c r="C89" s="16">
        <v>1.5395833333333333</v>
      </c>
      <c r="D89" s="21" t="s">
        <v>286</v>
      </c>
      <c r="E89" s="14">
        <v>41</v>
      </c>
      <c r="F89" s="14">
        <v>0</v>
      </c>
      <c r="G89" s="14">
        <v>6</v>
      </c>
      <c r="H89" s="14">
        <v>72</v>
      </c>
      <c r="I89" s="17">
        <v>1704</v>
      </c>
      <c r="J89" s="18">
        <v>6.98</v>
      </c>
      <c r="K89" s="19">
        <v>4.05</v>
      </c>
      <c r="L89" s="17">
        <v>88</v>
      </c>
      <c r="M89" s="22" t="s">
        <v>167</v>
      </c>
      <c r="N89" s="17">
        <v>0</v>
      </c>
      <c r="O89" s="17"/>
    </row>
    <row r="90" spans="1:15">
      <c r="A90" s="21" t="s">
        <v>287</v>
      </c>
      <c r="B90" s="15">
        <v>46010</v>
      </c>
      <c r="C90" s="16">
        <v>1.5430555555555556</v>
      </c>
      <c r="D90" s="22" t="s">
        <v>68</v>
      </c>
      <c r="E90" s="14">
        <v>18</v>
      </c>
      <c r="F90" s="14">
        <v>0</v>
      </c>
      <c r="G90" s="14">
        <v>2</v>
      </c>
      <c r="H90" s="14">
        <v>318</v>
      </c>
      <c r="I90" s="14">
        <v>984</v>
      </c>
      <c r="J90" s="18">
        <v>34.35</v>
      </c>
      <c r="K90" s="19">
        <v>37.68</v>
      </c>
      <c r="L90" s="17">
        <v>89</v>
      </c>
      <c r="M90" s="22" t="s">
        <v>180</v>
      </c>
      <c r="N90" s="17">
        <v>0</v>
      </c>
      <c r="O90" s="17"/>
    </row>
    <row r="91" spans="1:15">
      <c r="A91" s="21" t="s">
        <v>288</v>
      </c>
      <c r="B91" s="15">
        <v>46011</v>
      </c>
      <c r="C91" s="16">
        <v>1.5215277777777778</v>
      </c>
      <c r="D91" s="21" t="s">
        <v>289</v>
      </c>
      <c r="E91" s="14">
        <v>7</v>
      </c>
      <c r="F91" s="14">
        <v>0</v>
      </c>
      <c r="G91" s="14">
        <v>0</v>
      </c>
      <c r="H91" s="14">
        <v>33</v>
      </c>
      <c r="I91" s="14">
        <v>882</v>
      </c>
      <c r="J91" s="18">
        <v>4.54</v>
      </c>
      <c r="K91" s="19">
        <v>4.1900000000000004</v>
      </c>
      <c r="L91" s="17">
        <v>90</v>
      </c>
      <c r="M91" s="22" t="s">
        <v>167</v>
      </c>
      <c r="N91" s="17">
        <v>0</v>
      </c>
      <c r="O91" s="17"/>
    </row>
    <row r="92" spans="1:15">
      <c r="A92" s="21" t="s">
        <v>290</v>
      </c>
      <c r="B92" s="15">
        <v>46011</v>
      </c>
      <c r="C92" s="16">
        <v>1.5708333333333333</v>
      </c>
      <c r="D92" s="21" t="s">
        <v>291</v>
      </c>
      <c r="E92" s="14">
        <v>4</v>
      </c>
      <c r="F92" s="14">
        <v>0</v>
      </c>
      <c r="G92" s="14">
        <v>0</v>
      </c>
      <c r="H92" s="14">
        <v>8</v>
      </c>
      <c r="I92" s="17">
        <v>1022</v>
      </c>
      <c r="J92" s="18">
        <v>1.17</v>
      </c>
      <c r="K92" s="19">
        <v>1.08</v>
      </c>
      <c r="L92" s="17">
        <v>91</v>
      </c>
      <c r="M92" s="22" t="s">
        <v>167</v>
      </c>
      <c r="N92" s="17">
        <v>0</v>
      </c>
      <c r="O92" s="17"/>
    </row>
    <row r="93" spans="1:15">
      <c r="A93" s="21" t="s">
        <v>292</v>
      </c>
      <c r="B93" s="15">
        <v>46011</v>
      </c>
      <c r="C93" s="16">
        <v>1.6215277777777777</v>
      </c>
      <c r="D93" s="22" t="s">
        <v>69</v>
      </c>
      <c r="E93" s="14">
        <v>25</v>
      </c>
      <c r="F93" s="14">
        <v>0</v>
      </c>
      <c r="G93" s="14">
        <v>2</v>
      </c>
      <c r="H93" s="14">
        <v>51</v>
      </c>
      <c r="I93" s="17">
        <v>1282</v>
      </c>
      <c r="J93" s="18">
        <v>6.08</v>
      </c>
      <c r="K93" s="19">
        <v>3.99</v>
      </c>
      <c r="L93" s="17">
        <v>92</v>
      </c>
      <c r="M93" s="22" t="s">
        <v>167</v>
      </c>
      <c r="N93" s="17">
        <v>0</v>
      </c>
      <c r="O93" s="17"/>
    </row>
    <row r="94" spans="1:15">
      <c r="A94" s="21" t="s">
        <v>293</v>
      </c>
      <c r="B94" s="15">
        <v>46013</v>
      </c>
      <c r="C94" s="16">
        <v>0.33263888888888887</v>
      </c>
      <c r="D94" s="21" t="s">
        <v>294</v>
      </c>
      <c r="E94" s="14">
        <v>21</v>
      </c>
      <c r="F94" s="14">
        <v>0</v>
      </c>
      <c r="G94" s="14">
        <v>1</v>
      </c>
      <c r="H94" s="14">
        <v>65</v>
      </c>
      <c r="I94" s="17">
        <v>1305</v>
      </c>
      <c r="J94" s="18">
        <v>6.67</v>
      </c>
      <c r="K94" s="19">
        <f t="shared" ref="K94:K238" si="1">H94/I94*100</f>
        <v>4.980842911877394</v>
      </c>
      <c r="L94" s="17">
        <v>93</v>
      </c>
      <c r="M94" s="22" t="s">
        <v>167</v>
      </c>
      <c r="N94" s="17">
        <v>0</v>
      </c>
      <c r="O94" s="17"/>
    </row>
    <row r="95" spans="1:15">
      <c r="A95" s="21" t="s">
        <v>295</v>
      </c>
      <c r="B95" s="15">
        <v>46015</v>
      </c>
      <c r="C95" s="16">
        <v>0.58958333333333335</v>
      </c>
      <c r="D95" s="22" t="s">
        <v>70</v>
      </c>
      <c r="E95" s="14">
        <v>15</v>
      </c>
      <c r="F95" s="14">
        <v>0</v>
      </c>
      <c r="G95" s="14">
        <v>1</v>
      </c>
      <c r="H95" s="14">
        <v>305</v>
      </c>
      <c r="I95" s="14">
        <v>896</v>
      </c>
      <c r="J95" s="18">
        <v>35.83</v>
      </c>
      <c r="K95" s="19">
        <f t="shared" si="1"/>
        <v>34.040178571428569</v>
      </c>
      <c r="L95" s="17">
        <v>94</v>
      </c>
      <c r="M95" s="22" t="s">
        <v>180</v>
      </c>
      <c r="N95" s="17">
        <v>0</v>
      </c>
      <c r="O95" s="17"/>
    </row>
    <row r="96" spans="1:15">
      <c r="A96" s="21" t="s">
        <v>296</v>
      </c>
      <c r="B96" s="15">
        <v>46016</v>
      </c>
      <c r="C96" s="16">
        <v>0.22361111111111112</v>
      </c>
      <c r="D96" s="22" t="s">
        <v>71</v>
      </c>
      <c r="E96" s="14">
        <v>22</v>
      </c>
      <c r="F96" s="14">
        <v>0</v>
      </c>
      <c r="G96" s="14">
        <v>0</v>
      </c>
      <c r="H96" s="14">
        <v>15</v>
      </c>
      <c r="I96" s="14">
        <v>885</v>
      </c>
      <c r="J96" s="18">
        <v>4.18</v>
      </c>
      <c r="K96" s="19">
        <f t="shared" si="1"/>
        <v>1.6949152542372881</v>
      </c>
      <c r="L96" s="17">
        <v>95</v>
      </c>
      <c r="M96" s="22" t="s">
        <v>167</v>
      </c>
      <c r="N96" s="17">
        <v>0</v>
      </c>
      <c r="O96" s="17"/>
    </row>
    <row r="97" spans="1:15">
      <c r="A97" s="20" t="s">
        <v>297</v>
      </c>
      <c r="B97" s="15">
        <v>46017</v>
      </c>
      <c r="C97" s="16">
        <v>0.5854166666666667</v>
      </c>
      <c r="D97" s="14" t="s">
        <v>72</v>
      </c>
      <c r="E97" s="14">
        <v>26</v>
      </c>
      <c r="F97" s="14">
        <v>0</v>
      </c>
      <c r="G97" s="14">
        <v>2</v>
      </c>
      <c r="H97" s="14">
        <v>482</v>
      </c>
      <c r="I97" s="17">
        <v>1265</v>
      </c>
      <c r="J97" s="18">
        <v>40.32</v>
      </c>
      <c r="K97" s="19">
        <f t="shared" si="1"/>
        <v>38.102766798418976</v>
      </c>
      <c r="L97" s="17">
        <v>96</v>
      </c>
      <c r="M97" s="14" t="s">
        <v>180</v>
      </c>
      <c r="N97" s="17">
        <v>0</v>
      </c>
      <c r="O97" s="17"/>
    </row>
    <row r="98" spans="1:15">
      <c r="A98" s="20" t="s">
        <v>298</v>
      </c>
      <c r="B98" s="15">
        <v>46020</v>
      </c>
      <c r="C98" s="16">
        <v>0.52500000000000002</v>
      </c>
      <c r="D98" s="14" t="s">
        <v>299</v>
      </c>
      <c r="E98" s="17">
        <v>25</v>
      </c>
      <c r="F98" s="17">
        <v>0</v>
      </c>
      <c r="G98" s="17">
        <v>1</v>
      </c>
      <c r="H98" s="17">
        <v>541</v>
      </c>
      <c r="I98" s="17">
        <v>1195</v>
      </c>
      <c r="J98" s="18">
        <v>47.45</v>
      </c>
      <c r="K98" s="19">
        <f t="shared" si="1"/>
        <v>45.271966527196653</v>
      </c>
      <c r="L98" s="17">
        <v>97</v>
      </c>
      <c r="M98" s="14" t="s">
        <v>180</v>
      </c>
      <c r="N98" s="17">
        <v>0</v>
      </c>
      <c r="O98" s="17"/>
    </row>
    <row r="99" spans="1:15">
      <c r="A99" s="20" t="s">
        <v>300</v>
      </c>
      <c r="B99" s="15">
        <v>46023</v>
      </c>
      <c r="C99" s="16">
        <v>0.24652777777777779</v>
      </c>
      <c r="D99" s="14" t="s">
        <v>301</v>
      </c>
      <c r="E99" s="17">
        <v>40</v>
      </c>
      <c r="F99" s="17">
        <v>0</v>
      </c>
      <c r="G99" s="17">
        <v>2</v>
      </c>
      <c r="H99" s="17">
        <v>40</v>
      </c>
      <c r="I99" s="17">
        <v>1540</v>
      </c>
      <c r="J99" s="18">
        <v>5.32</v>
      </c>
      <c r="K99" s="19">
        <f t="shared" si="1"/>
        <v>2.5974025974025974</v>
      </c>
      <c r="L99" s="17">
        <v>98</v>
      </c>
      <c r="M99" s="14" t="s">
        <v>167</v>
      </c>
      <c r="N99" s="17">
        <v>0</v>
      </c>
      <c r="O99" s="17"/>
    </row>
    <row r="100" spans="1:15">
      <c r="A100" s="20" t="s">
        <v>302</v>
      </c>
      <c r="B100" s="15">
        <v>46025</v>
      </c>
      <c r="C100" s="16">
        <v>0.5708333333333333</v>
      </c>
      <c r="D100" s="20" t="s">
        <v>303</v>
      </c>
      <c r="E100" s="17">
        <v>17</v>
      </c>
      <c r="F100" s="17">
        <v>1</v>
      </c>
      <c r="G100" s="17">
        <v>2</v>
      </c>
      <c r="H100" s="17">
        <v>39</v>
      </c>
      <c r="I100" s="17">
        <v>863</v>
      </c>
      <c r="J100" s="18">
        <v>6.84</v>
      </c>
      <c r="K100" s="19">
        <f t="shared" si="1"/>
        <v>4.5191193511008105</v>
      </c>
      <c r="L100" s="17">
        <v>99</v>
      </c>
      <c r="M100" s="14" t="s">
        <v>167</v>
      </c>
      <c r="N100" s="17">
        <v>0</v>
      </c>
      <c r="O100" s="17"/>
    </row>
    <row r="101" spans="1:15">
      <c r="A101" s="20" t="s">
        <v>304</v>
      </c>
      <c r="B101" s="15">
        <v>46028</v>
      </c>
      <c r="C101" s="16">
        <v>0.20833333333333334</v>
      </c>
      <c r="D101" s="14" t="s">
        <v>305</v>
      </c>
      <c r="E101" s="14">
        <v>63</v>
      </c>
      <c r="F101" s="14">
        <v>1</v>
      </c>
      <c r="G101" s="17">
        <v>9</v>
      </c>
      <c r="H101" s="17">
        <v>89</v>
      </c>
      <c r="I101" s="17">
        <v>2136</v>
      </c>
      <c r="J101" s="18">
        <v>7.58</v>
      </c>
      <c r="K101" s="19">
        <f t="shared" si="1"/>
        <v>4.1666666666666661</v>
      </c>
      <c r="L101" s="17">
        <v>100</v>
      </c>
      <c r="M101" s="14" t="s">
        <v>167</v>
      </c>
      <c r="N101" s="17">
        <v>0</v>
      </c>
      <c r="O101" s="17"/>
    </row>
    <row r="102" spans="1:15">
      <c r="A102" s="20" t="s">
        <v>306</v>
      </c>
      <c r="B102" s="15">
        <v>46030</v>
      </c>
      <c r="C102" s="16">
        <v>0.5708333333333333</v>
      </c>
      <c r="D102" s="14" t="s">
        <v>307</v>
      </c>
      <c r="E102" s="17">
        <v>21</v>
      </c>
      <c r="F102" s="17">
        <v>1</v>
      </c>
      <c r="G102" s="17">
        <v>1</v>
      </c>
      <c r="H102" s="17">
        <v>31</v>
      </c>
      <c r="I102" s="17">
        <v>574</v>
      </c>
      <c r="J102" s="18">
        <v>9.41</v>
      </c>
      <c r="K102" s="19">
        <f t="shared" si="1"/>
        <v>5.4006968641114987</v>
      </c>
      <c r="L102" s="17">
        <v>101</v>
      </c>
      <c r="M102" s="14" t="s">
        <v>167</v>
      </c>
      <c r="N102" s="17">
        <v>0</v>
      </c>
      <c r="O102" s="17"/>
    </row>
    <row r="103" spans="1:15">
      <c r="A103" s="20" t="s">
        <v>308</v>
      </c>
      <c r="B103" s="15">
        <v>46031</v>
      </c>
      <c r="C103" s="16">
        <v>0.60624999999999996</v>
      </c>
      <c r="D103" s="14" t="s">
        <v>309</v>
      </c>
      <c r="E103" s="17">
        <v>17</v>
      </c>
      <c r="F103" s="17">
        <v>0</v>
      </c>
      <c r="G103" s="17">
        <v>2</v>
      </c>
      <c r="H103" s="17">
        <v>263</v>
      </c>
      <c r="I103" s="17">
        <v>810</v>
      </c>
      <c r="J103" s="18">
        <v>34.81</v>
      </c>
      <c r="K103" s="19">
        <f t="shared" si="1"/>
        <v>32.469135802469133</v>
      </c>
      <c r="L103" s="17">
        <v>102</v>
      </c>
      <c r="M103" s="14" t="s">
        <v>180</v>
      </c>
      <c r="N103" s="17">
        <v>0</v>
      </c>
      <c r="O103" s="17"/>
    </row>
    <row r="104" spans="1:15">
      <c r="A104" s="20" t="s">
        <v>310</v>
      </c>
      <c r="B104" s="15">
        <v>46035</v>
      </c>
      <c r="C104" s="16">
        <v>0.59583333333333333</v>
      </c>
      <c r="D104" s="14" t="s">
        <v>311</v>
      </c>
      <c r="E104" s="17">
        <v>19</v>
      </c>
      <c r="F104" s="17">
        <v>0</v>
      </c>
      <c r="G104" s="17">
        <v>4</v>
      </c>
      <c r="H104" s="17">
        <v>383</v>
      </c>
      <c r="I104" s="17">
        <v>1008</v>
      </c>
      <c r="J104" s="18">
        <v>40.28</v>
      </c>
      <c r="K104" s="19">
        <f t="shared" si="1"/>
        <v>37.996031746031747</v>
      </c>
      <c r="L104" s="17">
        <v>103</v>
      </c>
      <c r="M104" s="14" t="s">
        <v>180</v>
      </c>
      <c r="N104" s="17">
        <v>0</v>
      </c>
      <c r="O104" s="17"/>
    </row>
    <row r="105" spans="1:15">
      <c r="A105" s="20" t="s">
        <v>312</v>
      </c>
      <c r="B105" s="15">
        <v>46037</v>
      </c>
      <c r="C105" s="16">
        <v>0.57430555555555551</v>
      </c>
      <c r="D105" s="14" t="s">
        <v>313</v>
      </c>
      <c r="E105" s="17">
        <v>13</v>
      </c>
      <c r="F105" s="17">
        <v>0</v>
      </c>
      <c r="G105" s="17">
        <v>1</v>
      </c>
      <c r="H105" s="17">
        <v>4</v>
      </c>
      <c r="I105" s="17">
        <v>249</v>
      </c>
      <c r="J105" s="18">
        <v>7.23</v>
      </c>
      <c r="K105" s="19">
        <f t="shared" si="1"/>
        <v>1.6064257028112447</v>
      </c>
      <c r="L105" s="17">
        <v>104</v>
      </c>
      <c r="M105" s="14" t="s">
        <v>167</v>
      </c>
      <c r="N105" s="17">
        <v>0</v>
      </c>
      <c r="O105" s="17"/>
    </row>
    <row r="106" spans="1:15">
      <c r="A106" s="20" t="s">
        <v>314</v>
      </c>
      <c r="B106" s="15">
        <v>46038</v>
      </c>
      <c r="C106" s="16">
        <v>0.3972222222222222</v>
      </c>
      <c r="D106" s="14" t="s">
        <v>315</v>
      </c>
      <c r="E106" s="17">
        <v>257</v>
      </c>
      <c r="F106" s="17">
        <v>26</v>
      </c>
      <c r="G106" s="17">
        <v>21</v>
      </c>
      <c r="H106" s="17">
        <v>456</v>
      </c>
      <c r="I106" s="17">
        <v>8165</v>
      </c>
      <c r="J106" s="18">
        <v>9.31</v>
      </c>
      <c r="K106" s="19">
        <f t="shared" si="1"/>
        <v>5.5848132271892226</v>
      </c>
      <c r="L106" s="17">
        <v>105</v>
      </c>
      <c r="M106" s="14" t="s">
        <v>167</v>
      </c>
      <c r="N106" s="17">
        <v>0</v>
      </c>
      <c r="O106" s="17"/>
    </row>
    <row r="107" spans="1:15">
      <c r="A107" s="20" t="s">
        <v>316</v>
      </c>
      <c r="B107" s="15">
        <v>46038</v>
      </c>
      <c r="C107" s="16">
        <v>0.54236111111111107</v>
      </c>
      <c r="D107" s="14" t="s">
        <v>317</v>
      </c>
      <c r="E107" s="17">
        <v>29</v>
      </c>
      <c r="F107" s="17">
        <v>1</v>
      </c>
      <c r="G107" s="17">
        <v>5</v>
      </c>
      <c r="H107" s="17">
        <v>389</v>
      </c>
      <c r="I107" s="17">
        <v>1266</v>
      </c>
      <c r="J107" s="18">
        <v>33.49</v>
      </c>
      <c r="K107" s="19">
        <f t="shared" si="1"/>
        <v>30.726698262243286</v>
      </c>
      <c r="L107" s="17">
        <v>106</v>
      </c>
      <c r="M107" s="14" t="s">
        <v>180</v>
      </c>
      <c r="N107" s="17">
        <v>0</v>
      </c>
      <c r="O107" s="17"/>
    </row>
    <row r="108" spans="1:15">
      <c r="A108" s="20" t="s">
        <v>318</v>
      </c>
      <c r="B108" s="15">
        <v>46041</v>
      </c>
      <c r="C108" s="16">
        <v>0.4375</v>
      </c>
      <c r="D108" s="20" t="s">
        <v>319</v>
      </c>
      <c r="E108" s="17">
        <v>37</v>
      </c>
      <c r="F108" s="17">
        <v>0</v>
      </c>
      <c r="G108" s="17">
        <v>7</v>
      </c>
      <c r="H108" s="17">
        <v>2826</v>
      </c>
      <c r="I108" s="17">
        <v>8333</v>
      </c>
      <c r="J108" s="18">
        <v>34.44</v>
      </c>
      <c r="K108" s="19">
        <f t="shared" si="1"/>
        <v>33.913356534261368</v>
      </c>
      <c r="L108" s="17">
        <v>107</v>
      </c>
      <c r="M108" s="14" t="s">
        <v>180</v>
      </c>
      <c r="N108" s="17">
        <v>0</v>
      </c>
      <c r="O108" s="17"/>
    </row>
    <row r="109" spans="1:15">
      <c r="A109" s="20" t="s">
        <v>320</v>
      </c>
      <c r="B109" s="15">
        <v>46041</v>
      </c>
      <c r="C109" s="16">
        <v>0.4826388888888889</v>
      </c>
      <c r="D109" s="14" t="s">
        <v>321</v>
      </c>
      <c r="E109" s="17">
        <v>9</v>
      </c>
      <c r="F109" s="17">
        <v>0</v>
      </c>
      <c r="G109" s="17">
        <v>1</v>
      </c>
      <c r="H109" s="17">
        <v>156</v>
      </c>
      <c r="I109" s="17">
        <v>725</v>
      </c>
      <c r="J109" s="18">
        <v>22.9</v>
      </c>
      <c r="K109" s="19">
        <f t="shared" si="1"/>
        <v>21.517241379310345</v>
      </c>
      <c r="L109" s="17">
        <v>108</v>
      </c>
      <c r="M109" s="14" t="s">
        <v>180</v>
      </c>
      <c r="N109" s="17">
        <v>0</v>
      </c>
      <c r="O109" s="17"/>
    </row>
    <row r="110" spans="1:15">
      <c r="A110" s="20" t="s">
        <v>322</v>
      </c>
      <c r="B110" s="15">
        <v>46041</v>
      </c>
      <c r="C110" s="16">
        <v>0.52222222222222225</v>
      </c>
      <c r="D110" s="14" t="s">
        <v>323</v>
      </c>
      <c r="E110" s="17">
        <v>4</v>
      </c>
      <c r="F110" s="17">
        <v>0</v>
      </c>
      <c r="G110" s="17">
        <v>0</v>
      </c>
      <c r="H110" s="17">
        <v>105</v>
      </c>
      <c r="I110" s="17">
        <v>371</v>
      </c>
      <c r="J110" s="18">
        <v>29.38</v>
      </c>
      <c r="K110" s="19">
        <f t="shared" si="1"/>
        <v>28.30188679245283</v>
      </c>
      <c r="L110" s="17">
        <v>109</v>
      </c>
      <c r="M110" s="14" t="s">
        <v>180</v>
      </c>
      <c r="N110" s="17">
        <v>0</v>
      </c>
      <c r="O110" s="17"/>
    </row>
    <row r="111" spans="1:15">
      <c r="A111" s="20" t="s">
        <v>324</v>
      </c>
      <c r="B111" s="15">
        <v>46042</v>
      </c>
      <c r="C111" s="16">
        <v>0.53402777777777777</v>
      </c>
      <c r="D111" s="14" t="s">
        <v>325</v>
      </c>
      <c r="E111" s="17">
        <v>55</v>
      </c>
      <c r="F111" s="17">
        <v>2</v>
      </c>
      <c r="G111" s="17">
        <v>6</v>
      </c>
      <c r="H111" s="17">
        <v>70</v>
      </c>
      <c r="I111" s="17">
        <v>1626</v>
      </c>
      <c r="J111" s="18">
        <v>8.18</v>
      </c>
      <c r="K111" s="19">
        <f t="shared" si="1"/>
        <v>4.3050430504305046</v>
      </c>
      <c r="L111" s="17">
        <v>110</v>
      </c>
      <c r="M111" s="14" t="s">
        <v>167</v>
      </c>
      <c r="N111" s="17">
        <v>0</v>
      </c>
      <c r="O111" s="17"/>
    </row>
    <row r="112" spans="1:15">
      <c r="A112" s="20" t="s">
        <v>326</v>
      </c>
      <c r="B112" s="15">
        <v>46042</v>
      </c>
      <c r="C112" s="16">
        <v>0.54513888888888884</v>
      </c>
      <c r="D112" s="14" t="s">
        <v>327</v>
      </c>
      <c r="E112" s="17">
        <v>2</v>
      </c>
      <c r="F112" s="17">
        <v>0</v>
      </c>
      <c r="G112" s="17">
        <v>0</v>
      </c>
      <c r="H112" s="17">
        <v>6</v>
      </c>
      <c r="I112" s="17">
        <v>262</v>
      </c>
      <c r="J112" s="18">
        <v>3.05</v>
      </c>
      <c r="K112" s="19">
        <f t="shared" si="1"/>
        <v>2.2900763358778624</v>
      </c>
      <c r="L112" s="17">
        <v>111</v>
      </c>
      <c r="M112" s="14" t="s">
        <v>167</v>
      </c>
      <c r="N112" s="17">
        <v>0</v>
      </c>
      <c r="O112" s="17"/>
    </row>
    <row r="113" spans="1:15">
      <c r="A113" s="20" t="s">
        <v>328</v>
      </c>
      <c r="B113" s="15">
        <v>46043</v>
      </c>
      <c r="C113" s="16">
        <v>0.61319444444444449</v>
      </c>
      <c r="D113" s="14" t="s">
        <v>329</v>
      </c>
      <c r="E113" s="17">
        <v>2</v>
      </c>
      <c r="F113" s="17">
        <v>0</v>
      </c>
      <c r="G113" s="17">
        <v>0</v>
      </c>
      <c r="H113" s="17">
        <v>106</v>
      </c>
      <c r="I113" s="17">
        <v>307</v>
      </c>
      <c r="J113" s="18">
        <v>35.18</v>
      </c>
      <c r="K113" s="19">
        <f t="shared" si="1"/>
        <v>34.527687296416936</v>
      </c>
      <c r="L113" s="17">
        <v>112</v>
      </c>
      <c r="M113" s="14" t="s">
        <v>180</v>
      </c>
      <c r="N113" s="17">
        <v>0</v>
      </c>
      <c r="O113" s="17"/>
    </row>
    <row r="114" spans="1:15">
      <c r="A114" s="20" t="s">
        <v>330</v>
      </c>
      <c r="B114" s="15">
        <v>46044</v>
      </c>
      <c r="C114" s="16">
        <v>0.26597222222222222</v>
      </c>
      <c r="D114" s="14" t="s">
        <v>331</v>
      </c>
      <c r="E114" s="17">
        <v>21</v>
      </c>
      <c r="F114" s="17">
        <v>0</v>
      </c>
      <c r="G114" s="17">
        <v>3</v>
      </c>
      <c r="H114" s="17">
        <v>406</v>
      </c>
      <c r="I114" s="17">
        <v>909</v>
      </c>
      <c r="J114" s="18">
        <v>47.3</v>
      </c>
      <c r="K114" s="19">
        <f t="shared" si="1"/>
        <v>44.66446644664466</v>
      </c>
      <c r="L114" s="17">
        <v>113</v>
      </c>
      <c r="M114" s="14" t="s">
        <v>180</v>
      </c>
      <c r="N114" s="17">
        <v>0</v>
      </c>
      <c r="O114" s="17"/>
    </row>
    <row r="115" spans="1:15">
      <c r="A115" s="20" t="s">
        <v>332</v>
      </c>
      <c r="B115" s="15">
        <v>46044</v>
      </c>
      <c r="C115" s="16">
        <v>0.58611111111111114</v>
      </c>
      <c r="D115" s="14" t="s">
        <v>333</v>
      </c>
      <c r="E115" s="17">
        <v>6</v>
      </c>
      <c r="F115" s="17">
        <v>0</v>
      </c>
      <c r="G115" s="17">
        <v>0</v>
      </c>
      <c r="H115" s="17">
        <v>16</v>
      </c>
      <c r="I115" s="17">
        <v>209</v>
      </c>
      <c r="J115" s="18">
        <v>10.53</v>
      </c>
      <c r="K115" s="19">
        <f t="shared" si="1"/>
        <v>7.6555023923444976</v>
      </c>
      <c r="L115" s="17">
        <v>114</v>
      </c>
      <c r="M115" s="14" t="s">
        <v>167</v>
      </c>
      <c r="N115" s="17">
        <v>0</v>
      </c>
      <c r="O115" s="17"/>
    </row>
    <row r="116" spans="1:15">
      <c r="A116" s="20" t="s">
        <v>334</v>
      </c>
      <c r="B116" s="15">
        <v>46046</v>
      </c>
      <c r="C116" s="16">
        <v>0.27777777777777779</v>
      </c>
      <c r="D116" s="14" t="s">
        <v>335</v>
      </c>
      <c r="E116" s="17">
        <v>21</v>
      </c>
      <c r="F116" s="17">
        <v>0</v>
      </c>
      <c r="G116" s="17">
        <v>0</v>
      </c>
      <c r="H116" s="17">
        <v>189</v>
      </c>
      <c r="I116" s="17">
        <v>983</v>
      </c>
      <c r="J116" s="18">
        <v>21.36</v>
      </c>
      <c r="K116" s="19">
        <f t="shared" si="1"/>
        <v>19.226856561546288</v>
      </c>
      <c r="L116" s="17">
        <v>115</v>
      </c>
      <c r="M116" s="14" t="s">
        <v>180</v>
      </c>
      <c r="N116" s="17">
        <v>0</v>
      </c>
      <c r="O116" s="17"/>
    </row>
    <row r="117" spans="1:15">
      <c r="A117" s="20" t="s">
        <v>336</v>
      </c>
      <c r="B117" s="15">
        <v>46050</v>
      </c>
      <c r="C117" s="16">
        <v>0.51597222222222228</v>
      </c>
      <c r="D117" s="14" t="s">
        <v>337</v>
      </c>
      <c r="E117" s="17">
        <v>19</v>
      </c>
      <c r="F117" s="17">
        <v>0</v>
      </c>
      <c r="G117" s="17">
        <v>4</v>
      </c>
      <c r="H117" s="17">
        <v>201</v>
      </c>
      <c r="I117" s="17">
        <v>677</v>
      </c>
      <c r="J117" s="18">
        <v>33.090000000000003</v>
      </c>
      <c r="K117" s="19">
        <f t="shared" si="1"/>
        <v>29.689807976366321</v>
      </c>
      <c r="L117" s="17">
        <v>116</v>
      </c>
      <c r="M117" s="14" t="s">
        <v>180</v>
      </c>
      <c r="N117" s="17">
        <v>0</v>
      </c>
      <c r="O117" s="17"/>
    </row>
    <row r="118" spans="1:15">
      <c r="A118" s="20" t="s">
        <v>338</v>
      </c>
      <c r="B118" s="15">
        <v>46050</v>
      </c>
      <c r="C118" s="16">
        <v>0.56388888888888888</v>
      </c>
      <c r="D118" s="14" t="s">
        <v>339</v>
      </c>
      <c r="E118" s="17">
        <v>14</v>
      </c>
      <c r="F118" s="17">
        <v>0</v>
      </c>
      <c r="G118" s="17">
        <v>3</v>
      </c>
      <c r="H118" s="17">
        <v>23</v>
      </c>
      <c r="I118" s="17">
        <v>379</v>
      </c>
      <c r="J118" s="18">
        <v>10.55</v>
      </c>
      <c r="K118" s="19">
        <f t="shared" si="1"/>
        <v>6.0686015831134563</v>
      </c>
      <c r="L118" s="17">
        <v>117</v>
      </c>
      <c r="M118" s="14" t="s">
        <v>167</v>
      </c>
      <c r="N118" s="17">
        <v>0</v>
      </c>
      <c r="O118" s="17"/>
    </row>
    <row r="119" spans="1:15">
      <c r="A119" s="20" t="s">
        <v>340</v>
      </c>
      <c r="B119" s="15">
        <v>46050</v>
      </c>
      <c r="C119" s="16">
        <v>0.5854166666666667</v>
      </c>
      <c r="D119" s="14" t="s">
        <v>341</v>
      </c>
      <c r="E119" s="17">
        <v>5</v>
      </c>
      <c r="F119" s="17">
        <v>0</v>
      </c>
      <c r="G119" s="17">
        <v>2</v>
      </c>
      <c r="H119" s="17">
        <v>15</v>
      </c>
      <c r="I119" s="17">
        <v>322</v>
      </c>
      <c r="J119" s="18">
        <v>6.83</v>
      </c>
      <c r="K119" s="19">
        <f t="shared" si="1"/>
        <v>4.658385093167702</v>
      </c>
      <c r="L119" s="17">
        <v>118</v>
      </c>
      <c r="M119" s="14" t="s">
        <v>167</v>
      </c>
      <c r="N119" s="17">
        <v>0</v>
      </c>
      <c r="O119" s="17"/>
    </row>
    <row r="120" spans="1:15">
      <c r="A120" s="23" t="s">
        <v>342</v>
      </c>
      <c r="B120" s="15">
        <v>46051</v>
      </c>
      <c r="C120" s="16">
        <v>0.49375000000000002</v>
      </c>
      <c r="D120" s="14" t="s">
        <v>343</v>
      </c>
      <c r="E120" s="17">
        <v>5</v>
      </c>
      <c r="F120" s="17">
        <v>0</v>
      </c>
      <c r="G120" s="17">
        <v>0</v>
      </c>
      <c r="H120" s="17">
        <v>184</v>
      </c>
      <c r="I120" s="17">
        <v>460</v>
      </c>
      <c r="J120" s="18">
        <v>41.09</v>
      </c>
      <c r="K120" s="19">
        <f t="shared" si="1"/>
        <v>40</v>
      </c>
      <c r="L120" s="17">
        <v>119</v>
      </c>
      <c r="M120" s="14" t="s">
        <v>180</v>
      </c>
      <c r="N120" s="17">
        <v>0</v>
      </c>
      <c r="O120" s="17"/>
    </row>
    <row r="121" spans="1:15">
      <c r="A121" s="20" t="s">
        <v>344</v>
      </c>
      <c r="B121" s="15">
        <v>46051</v>
      </c>
      <c r="C121" s="16">
        <v>0.52222222222222225</v>
      </c>
      <c r="D121" s="20" t="s">
        <v>345</v>
      </c>
      <c r="E121" s="17">
        <v>22</v>
      </c>
      <c r="F121" s="17">
        <v>1</v>
      </c>
      <c r="G121" s="17">
        <v>0</v>
      </c>
      <c r="H121" s="17">
        <v>275</v>
      </c>
      <c r="I121" s="17">
        <v>4850</v>
      </c>
      <c r="J121" s="18">
        <v>6.14</v>
      </c>
      <c r="K121" s="19">
        <f t="shared" si="1"/>
        <v>5.6701030927835054</v>
      </c>
      <c r="L121" s="17">
        <v>120</v>
      </c>
      <c r="M121" s="14" t="s">
        <v>167</v>
      </c>
      <c r="N121" s="17">
        <v>0</v>
      </c>
      <c r="O121" s="17"/>
    </row>
    <row r="122" spans="1:15">
      <c r="A122" s="20" t="s">
        <v>346</v>
      </c>
      <c r="B122" s="15">
        <v>46051</v>
      </c>
      <c r="C122" s="16">
        <v>0.54166666666666663</v>
      </c>
      <c r="D122" s="14" t="s">
        <v>347</v>
      </c>
      <c r="E122" s="17">
        <v>6</v>
      </c>
      <c r="F122" s="17">
        <v>0</v>
      </c>
      <c r="G122" s="17">
        <v>2</v>
      </c>
      <c r="H122" s="17">
        <v>142</v>
      </c>
      <c r="I122" s="17">
        <v>406</v>
      </c>
      <c r="J122" s="18">
        <v>36.950000000000003</v>
      </c>
      <c r="K122" s="19">
        <f t="shared" si="1"/>
        <v>34.975369458128078</v>
      </c>
      <c r="L122" s="17">
        <v>121</v>
      </c>
      <c r="M122" s="14" t="s">
        <v>180</v>
      </c>
      <c r="N122" s="17">
        <v>0</v>
      </c>
      <c r="O122" s="17"/>
    </row>
    <row r="123" spans="1:15">
      <c r="A123" s="23" t="s">
        <v>348</v>
      </c>
      <c r="B123" s="15">
        <v>46052</v>
      </c>
      <c r="C123" s="16">
        <v>0.27708333333333335</v>
      </c>
      <c r="D123" s="14" t="s">
        <v>349</v>
      </c>
      <c r="E123" s="17">
        <v>4</v>
      </c>
      <c r="F123" s="17">
        <v>0</v>
      </c>
      <c r="G123" s="17">
        <v>0</v>
      </c>
      <c r="H123" s="17">
        <v>55</v>
      </c>
      <c r="I123" s="17">
        <v>388</v>
      </c>
      <c r="J123" s="19">
        <v>15.21</v>
      </c>
      <c r="K123" s="19">
        <f t="shared" si="1"/>
        <v>14.175257731958762</v>
      </c>
      <c r="L123" s="17">
        <v>122</v>
      </c>
      <c r="M123" s="14" t="s">
        <v>180</v>
      </c>
      <c r="N123" s="17">
        <v>0</v>
      </c>
      <c r="O123" s="17"/>
    </row>
    <row r="124" spans="1:15">
      <c r="A124" s="20" t="s">
        <v>350</v>
      </c>
      <c r="B124" s="15">
        <v>46052</v>
      </c>
      <c r="C124" s="16">
        <v>0.3125</v>
      </c>
      <c r="D124" s="20" t="s">
        <v>351</v>
      </c>
      <c r="E124" s="17">
        <v>33</v>
      </c>
      <c r="F124" s="17">
        <v>0</v>
      </c>
      <c r="G124" s="17">
        <v>4</v>
      </c>
      <c r="H124" s="17">
        <v>210</v>
      </c>
      <c r="I124" s="17">
        <v>4360</v>
      </c>
      <c r="J124" s="19">
        <v>5.67</v>
      </c>
      <c r="K124" s="19">
        <f t="shared" si="1"/>
        <v>4.8165137614678901</v>
      </c>
      <c r="L124" s="17">
        <v>123</v>
      </c>
      <c r="M124" s="14" t="s">
        <v>167</v>
      </c>
      <c r="N124" s="17">
        <v>0</v>
      </c>
      <c r="O124" s="17"/>
    </row>
    <row r="125" spans="1:15">
      <c r="A125" s="20" t="s">
        <v>352</v>
      </c>
      <c r="B125" s="15">
        <v>46052</v>
      </c>
      <c r="C125" s="16">
        <v>0.36458333333333331</v>
      </c>
      <c r="D125" s="14" t="s">
        <v>353</v>
      </c>
      <c r="E125" s="17">
        <v>6</v>
      </c>
      <c r="F125" s="17">
        <v>0</v>
      </c>
      <c r="G125" s="17">
        <v>0</v>
      </c>
      <c r="H125" s="17">
        <v>17</v>
      </c>
      <c r="I125" s="17">
        <v>434</v>
      </c>
      <c r="J125" s="19">
        <v>5.3</v>
      </c>
      <c r="K125" s="19">
        <f t="shared" si="1"/>
        <v>3.9170506912442393</v>
      </c>
      <c r="L125" s="17">
        <v>124</v>
      </c>
      <c r="M125" s="14" t="s">
        <v>167</v>
      </c>
      <c r="N125" s="17">
        <v>0</v>
      </c>
      <c r="O125" s="17"/>
    </row>
    <row r="126" spans="1:15">
      <c r="A126" s="20" t="s">
        <v>354</v>
      </c>
      <c r="B126" s="15">
        <v>46052</v>
      </c>
      <c r="C126" s="16">
        <v>0.55277777777777781</v>
      </c>
      <c r="D126" s="14" t="s">
        <v>355</v>
      </c>
      <c r="E126" s="17">
        <v>10</v>
      </c>
      <c r="F126" s="17">
        <v>0</v>
      </c>
      <c r="G126" s="17">
        <v>2</v>
      </c>
      <c r="H126" s="17">
        <v>264</v>
      </c>
      <c r="I126" s="17">
        <v>599</v>
      </c>
      <c r="J126" s="19">
        <v>46.08</v>
      </c>
      <c r="K126" s="19">
        <f t="shared" si="1"/>
        <v>44.073455759599334</v>
      </c>
      <c r="L126" s="17">
        <v>125</v>
      </c>
      <c r="M126" s="14" t="s">
        <v>180</v>
      </c>
      <c r="N126" s="17">
        <v>0</v>
      </c>
      <c r="O126" s="17"/>
    </row>
    <row r="127" spans="1:15">
      <c r="A127" s="20" t="s">
        <v>356</v>
      </c>
      <c r="B127" s="15">
        <v>46052</v>
      </c>
      <c r="C127" s="16">
        <v>0.59930555555555554</v>
      </c>
      <c r="D127" s="14" t="s">
        <v>357</v>
      </c>
      <c r="E127" s="17">
        <v>7</v>
      </c>
      <c r="F127" s="17">
        <v>0</v>
      </c>
      <c r="G127" s="17">
        <v>1</v>
      </c>
      <c r="H127" s="17">
        <v>7</v>
      </c>
      <c r="I127" s="17">
        <v>307</v>
      </c>
      <c r="J127" s="19">
        <v>4.8899999999999997</v>
      </c>
      <c r="K127" s="19">
        <f t="shared" si="1"/>
        <v>2.2801302931596092</v>
      </c>
      <c r="L127" s="17">
        <v>126</v>
      </c>
      <c r="M127" s="14" t="s">
        <v>167</v>
      </c>
      <c r="N127" s="17">
        <v>0</v>
      </c>
      <c r="O127" s="17"/>
    </row>
    <row r="128" spans="1:15">
      <c r="A128" s="23" t="s">
        <v>358</v>
      </c>
      <c r="B128" s="15">
        <v>46057</v>
      </c>
      <c r="C128" s="16">
        <v>0.50208333333333333</v>
      </c>
      <c r="D128" s="14" t="s">
        <v>359</v>
      </c>
      <c r="E128" s="17">
        <v>8</v>
      </c>
      <c r="F128" s="17">
        <v>0</v>
      </c>
      <c r="G128" s="17">
        <v>1</v>
      </c>
      <c r="H128" s="17">
        <v>240</v>
      </c>
      <c r="I128" s="17">
        <v>787</v>
      </c>
      <c r="J128" s="19">
        <v>31.64</v>
      </c>
      <c r="K128" s="19">
        <f t="shared" si="1"/>
        <v>30.495552731893266</v>
      </c>
      <c r="L128" s="17">
        <v>127</v>
      </c>
      <c r="M128" s="14" t="s">
        <v>180</v>
      </c>
      <c r="N128" s="17">
        <v>0</v>
      </c>
      <c r="O128" s="17"/>
    </row>
    <row r="129" spans="1:15">
      <c r="A129" s="20" t="s">
        <v>360</v>
      </c>
      <c r="B129" s="15">
        <v>46057</v>
      </c>
      <c r="C129" s="16">
        <v>0.52222222222222225</v>
      </c>
      <c r="D129" s="14" t="s">
        <v>361</v>
      </c>
      <c r="E129" s="17">
        <v>4</v>
      </c>
      <c r="F129" s="17">
        <v>0</v>
      </c>
      <c r="G129" s="17">
        <v>1</v>
      </c>
      <c r="H129" s="17">
        <v>8</v>
      </c>
      <c r="I129" s="17">
        <v>368</v>
      </c>
      <c r="J129" s="19">
        <v>3.53</v>
      </c>
      <c r="K129" s="19">
        <f t="shared" si="1"/>
        <v>2.1739130434782608</v>
      </c>
      <c r="L129" s="17">
        <v>128</v>
      </c>
      <c r="M129" s="14" t="s">
        <v>167</v>
      </c>
      <c r="N129" s="17">
        <v>0</v>
      </c>
      <c r="O129" s="17"/>
    </row>
    <row r="130" spans="1:15">
      <c r="A130" s="20" t="s">
        <v>362</v>
      </c>
      <c r="B130" s="15">
        <v>46057</v>
      </c>
      <c r="C130" s="16">
        <v>0.5625</v>
      </c>
      <c r="D130" s="14" t="s">
        <v>363</v>
      </c>
      <c r="E130" s="17">
        <v>24</v>
      </c>
      <c r="F130" s="17">
        <v>0</v>
      </c>
      <c r="G130" s="17">
        <v>7</v>
      </c>
      <c r="H130" s="17">
        <v>474</v>
      </c>
      <c r="I130" s="17">
        <v>1256</v>
      </c>
      <c r="J130" s="19">
        <v>40.21</v>
      </c>
      <c r="K130" s="19">
        <f t="shared" si="1"/>
        <v>37.738853503184714</v>
      </c>
      <c r="L130" s="17">
        <v>129</v>
      </c>
      <c r="M130" s="14" t="s">
        <v>180</v>
      </c>
      <c r="N130" s="17">
        <v>0</v>
      </c>
      <c r="O130" s="17"/>
    </row>
    <row r="131" spans="1:15">
      <c r="A131" s="20" t="s">
        <v>364</v>
      </c>
      <c r="B131" s="15">
        <v>46059</v>
      </c>
      <c r="C131" s="16">
        <v>0.63055555555555554</v>
      </c>
      <c r="D131" s="20" t="s">
        <v>365</v>
      </c>
      <c r="E131" s="17">
        <v>33</v>
      </c>
      <c r="F131" s="17">
        <v>0</v>
      </c>
      <c r="G131" s="17">
        <v>1</v>
      </c>
      <c r="H131" s="17">
        <v>54</v>
      </c>
      <c r="I131" s="17">
        <v>1638</v>
      </c>
      <c r="J131" s="19">
        <v>5.37</v>
      </c>
      <c r="K131" s="19">
        <f t="shared" si="1"/>
        <v>3.296703296703297</v>
      </c>
      <c r="L131" s="17">
        <v>130</v>
      </c>
      <c r="M131" s="14" t="s">
        <v>167</v>
      </c>
      <c r="N131" s="17">
        <v>0</v>
      </c>
      <c r="O131" s="17"/>
    </row>
    <row r="132" spans="1:15">
      <c r="A132" s="20" t="s">
        <v>366</v>
      </c>
      <c r="B132" s="15">
        <v>46060</v>
      </c>
      <c r="C132" s="16">
        <v>0.43680555555555556</v>
      </c>
      <c r="D132" s="14" t="s">
        <v>367</v>
      </c>
      <c r="E132" s="17">
        <v>4</v>
      </c>
      <c r="F132" s="17">
        <v>0</v>
      </c>
      <c r="G132" s="17">
        <v>0</v>
      </c>
      <c r="H132" s="17">
        <v>14</v>
      </c>
      <c r="I132" s="17">
        <v>571</v>
      </c>
      <c r="J132" s="19">
        <v>3.15</v>
      </c>
      <c r="K132" s="19">
        <f t="shared" si="1"/>
        <v>2.4518388791593697</v>
      </c>
      <c r="L132" s="17">
        <v>131</v>
      </c>
      <c r="M132" s="14" t="s">
        <v>167</v>
      </c>
      <c r="N132" s="17">
        <v>0</v>
      </c>
      <c r="O132" s="17"/>
    </row>
    <row r="133" spans="1:15">
      <c r="A133" s="20" t="s">
        <v>368</v>
      </c>
      <c r="B133" s="15">
        <v>46060</v>
      </c>
      <c r="C133" s="16">
        <v>0.47986111111111113</v>
      </c>
      <c r="D133" s="14" t="s">
        <v>369</v>
      </c>
      <c r="E133" s="17">
        <v>2</v>
      </c>
      <c r="F133" s="17">
        <v>0</v>
      </c>
      <c r="G133" s="17">
        <v>0</v>
      </c>
      <c r="H133" s="17">
        <v>14</v>
      </c>
      <c r="I133" s="17">
        <v>555</v>
      </c>
      <c r="J133" s="19">
        <v>2.88</v>
      </c>
      <c r="K133" s="19">
        <f t="shared" si="1"/>
        <v>2.5225225225225225</v>
      </c>
      <c r="L133" s="17">
        <v>132</v>
      </c>
      <c r="M133" s="14" t="s">
        <v>167</v>
      </c>
      <c r="N133" s="17">
        <v>0</v>
      </c>
      <c r="O133" s="17"/>
    </row>
    <row r="134" spans="1:15">
      <c r="A134" s="20" t="s">
        <v>370</v>
      </c>
      <c r="B134" s="15">
        <v>46060</v>
      </c>
      <c r="C134" s="16">
        <v>0.53125</v>
      </c>
      <c r="D134" s="14" t="s">
        <v>371</v>
      </c>
      <c r="E134" s="17">
        <v>11</v>
      </c>
      <c r="F134" s="17">
        <v>0</v>
      </c>
      <c r="G134" s="17">
        <v>1</v>
      </c>
      <c r="H134" s="17">
        <v>306</v>
      </c>
      <c r="I134" s="17">
        <v>744</v>
      </c>
      <c r="J134" s="19">
        <v>42.74</v>
      </c>
      <c r="K134" s="19">
        <f t="shared" si="1"/>
        <v>41.12903225806452</v>
      </c>
      <c r="L134" s="17">
        <v>133</v>
      </c>
      <c r="M134" s="14" t="s">
        <v>180</v>
      </c>
      <c r="N134" s="17">
        <v>0</v>
      </c>
      <c r="O134" s="17"/>
    </row>
    <row r="135" spans="1:15">
      <c r="A135" s="20" t="s">
        <v>372</v>
      </c>
      <c r="B135" s="15">
        <v>46060</v>
      </c>
      <c r="C135" s="16">
        <v>0.58402777777777781</v>
      </c>
      <c r="D135" s="14" t="s">
        <v>373</v>
      </c>
      <c r="E135" s="17">
        <v>8</v>
      </c>
      <c r="F135" s="17">
        <v>0</v>
      </c>
      <c r="G135" s="17">
        <v>0</v>
      </c>
      <c r="H135" s="17">
        <v>265</v>
      </c>
      <c r="I135" s="17">
        <v>757</v>
      </c>
      <c r="J135" s="19">
        <v>36.06</v>
      </c>
      <c r="K135" s="19">
        <f t="shared" si="1"/>
        <v>35.006605019815055</v>
      </c>
      <c r="L135" s="17">
        <v>134</v>
      </c>
      <c r="M135" s="14" t="s">
        <v>180</v>
      </c>
      <c r="N135" s="17">
        <v>0</v>
      </c>
      <c r="O135" s="17"/>
    </row>
    <row r="136" spans="1:15">
      <c r="A136" s="20" t="s">
        <v>374</v>
      </c>
      <c r="B136" s="15">
        <v>46062</v>
      </c>
      <c r="C136" s="16">
        <v>0.60069444444444442</v>
      </c>
      <c r="D136" s="14" t="s">
        <v>375</v>
      </c>
      <c r="E136" s="17">
        <v>41</v>
      </c>
      <c r="F136" s="17">
        <v>1</v>
      </c>
      <c r="G136" s="17">
        <v>5</v>
      </c>
      <c r="H136" s="17">
        <v>98</v>
      </c>
      <c r="I136" s="17">
        <v>1479</v>
      </c>
      <c r="J136" s="19">
        <v>9.8000000000000007</v>
      </c>
      <c r="K136" s="19">
        <f t="shared" si="1"/>
        <v>6.626098715348208</v>
      </c>
      <c r="L136" s="17">
        <v>135</v>
      </c>
      <c r="M136" s="14" t="s">
        <v>167</v>
      </c>
      <c r="N136" s="17">
        <v>0</v>
      </c>
      <c r="O136" s="17"/>
    </row>
    <row r="137" spans="1:15">
      <c r="A137" s="20" t="s">
        <v>376</v>
      </c>
      <c r="B137" s="15">
        <v>46063</v>
      </c>
      <c r="C137" s="16">
        <v>0.5625</v>
      </c>
      <c r="D137" s="14" t="s">
        <v>377</v>
      </c>
      <c r="E137" s="17">
        <v>36</v>
      </c>
      <c r="F137" s="17">
        <v>3</v>
      </c>
      <c r="G137" s="17">
        <v>0</v>
      </c>
      <c r="H137" s="17">
        <v>367</v>
      </c>
      <c r="I137" s="17">
        <v>1187</v>
      </c>
      <c r="J137" s="19">
        <v>34.200000000000003</v>
      </c>
      <c r="K137" s="19">
        <f t="shared" si="1"/>
        <v>30.918281381634372</v>
      </c>
      <c r="L137" s="17">
        <v>136</v>
      </c>
      <c r="M137" s="14" t="s">
        <v>180</v>
      </c>
      <c r="N137" s="17">
        <v>0</v>
      </c>
      <c r="O137" s="17"/>
    </row>
    <row r="138" spans="1:15">
      <c r="A138" s="20" t="s">
        <v>378</v>
      </c>
      <c r="B138" s="15">
        <v>46063</v>
      </c>
      <c r="C138" s="16">
        <v>0.56666666666666665</v>
      </c>
      <c r="D138" s="14" t="s">
        <v>379</v>
      </c>
      <c r="E138" s="17">
        <v>6</v>
      </c>
      <c r="F138" s="17">
        <v>0</v>
      </c>
      <c r="G138" s="17">
        <v>0</v>
      </c>
      <c r="H138" s="17">
        <v>4</v>
      </c>
      <c r="I138" s="17">
        <v>381</v>
      </c>
      <c r="J138" s="19">
        <v>2.62</v>
      </c>
      <c r="K138" s="19">
        <f t="shared" si="1"/>
        <v>1.0498687664041995</v>
      </c>
      <c r="L138" s="17">
        <v>137</v>
      </c>
      <c r="M138" s="14" t="s">
        <v>167</v>
      </c>
      <c r="N138" s="17">
        <v>0</v>
      </c>
      <c r="O138" s="17"/>
    </row>
    <row r="139" spans="1:15">
      <c r="A139" s="20" t="s">
        <v>380</v>
      </c>
      <c r="B139" s="15">
        <v>46064</v>
      </c>
      <c r="C139" s="16">
        <v>0.31527777777777777</v>
      </c>
      <c r="D139" s="14" t="s">
        <v>381</v>
      </c>
      <c r="E139" s="17">
        <v>11</v>
      </c>
      <c r="F139" s="17">
        <v>0</v>
      </c>
      <c r="G139" s="17">
        <v>4</v>
      </c>
      <c r="H139" s="17">
        <v>262</v>
      </c>
      <c r="I139" s="17">
        <v>775</v>
      </c>
      <c r="J139" s="19">
        <v>35.74</v>
      </c>
      <c r="K139" s="19">
        <f t="shared" si="1"/>
        <v>33.806451612903224</v>
      </c>
      <c r="L139" s="17">
        <v>138</v>
      </c>
      <c r="M139" s="14" t="s">
        <v>180</v>
      </c>
      <c r="N139" s="17">
        <v>0</v>
      </c>
      <c r="O139" s="17"/>
    </row>
    <row r="140" spans="1:15">
      <c r="A140" s="20" t="s">
        <v>382</v>
      </c>
      <c r="B140" s="15">
        <v>46065</v>
      </c>
      <c r="C140" s="16">
        <v>0.54374999999999996</v>
      </c>
      <c r="D140" s="20" t="s">
        <v>383</v>
      </c>
      <c r="E140" s="17">
        <v>13</v>
      </c>
      <c r="F140" s="17">
        <v>0</v>
      </c>
      <c r="G140" s="17">
        <v>1</v>
      </c>
      <c r="H140" s="17">
        <v>9</v>
      </c>
      <c r="I140" s="17">
        <v>451</v>
      </c>
      <c r="J140" s="19">
        <v>5.0999999999999996</v>
      </c>
      <c r="K140" s="19">
        <f t="shared" si="1"/>
        <v>1.9955654101995564</v>
      </c>
      <c r="L140" s="17">
        <v>139</v>
      </c>
      <c r="M140" s="14" t="s">
        <v>167</v>
      </c>
      <c r="N140" s="17">
        <v>0</v>
      </c>
      <c r="O140" s="17"/>
    </row>
    <row r="141" spans="1:15">
      <c r="A141" s="20" t="s">
        <v>384</v>
      </c>
      <c r="B141" s="15">
        <v>46065</v>
      </c>
      <c r="C141" s="16">
        <v>0.59652777777777777</v>
      </c>
      <c r="D141" s="14" t="s">
        <v>385</v>
      </c>
      <c r="E141" s="17">
        <v>7</v>
      </c>
      <c r="F141" s="17">
        <v>0</v>
      </c>
      <c r="G141" s="17">
        <v>1</v>
      </c>
      <c r="H141" s="17">
        <v>5</v>
      </c>
      <c r="I141" s="17">
        <v>291</v>
      </c>
      <c r="J141" s="19">
        <v>4.47</v>
      </c>
      <c r="K141" s="19">
        <f t="shared" si="1"/>
        <v>1.7182130584192441</v>
      </c>
      <c r="L141" s="17">
        <v>140</v>
      </c>
      <c r="M141" s="14" t="s">
        <v>167</v>
      </c>
      <c r="N141" s="17">
        <v>0</v>
      </c>
      <c r="O141" s="17"/>
    </row>
    <row r="142" spans="1:15">
      <c r="A142" s="20" t="s">
        <v>386</v>
      </c>
      <c r="B142" s="15">
        <v>46066</v>
      </c>
      <c r="C142" s="16">
        <v>0.57152777777777775</v>
      </c>
      <c r="D142" s="20" t="s">
        <v>387</v>
      </c>
      <c r="E142" s="14">
        <v>6</v>
      </c>
      <c r="F142" s="14">
        <v>0</v>
      </c>
      <c r="G142" s="14">
        <v>3</v>
      </c>
      <c r="H142" s="14">
        <v>13</v>
      </c>
      <c r="I142" s="17">
        <v>650</v>
      </c>
      <c r="J142" s="19">
        <v>3.38</v>
      </c>
      <c r="K142" s="19">
        <f t="shared" si="1"/>
        <v>2</v>
      </c>
      <c r="L142" s="17">
        <v>141</v>
      </c>
      <c r="M142" s="14" t="s">
        <v>167</v>
      </c>
      <c r="N142" s="17">
        <v>0</v>
      </c>
      <c r="O142" s="17"/>
    </row>
    <row r="143" spans="1:15">
      <c r="A143" s="20" t="s">
        <v>388</v>
      </c>
      <c r="B143" s="15">
        <v>46066</v>
      </c>
      <c r="C143" s="16">
        <v>0.60416666666666663</v>
      </c>
      <c r="D143" s="14" t="s">
        <v>389</v>
      </c>
      <c r="E143" s="14">
        <v>10</v>
      </c>
      <c r="F143" s="14">
        <v>0</v>
      </c>
      <c r="G143" s="17">
        <v>2</v>
      </c>
      <c r="H143" s="14">
        <v>315</v>
      </c>
      <c r="I143" s="17">
        <v>1121</v>
      </c>
      <c r="J143" s="19">
        <v>29.17</v>
      </c>
      <c r="K143" s="19">
        <f t="shared" si="1"/>
        <v>28.099910793933986</v>
      </c>
      <c r="L143" s="17">
        <v>142</v>
      </c>
      <c r="M143" s="14" t="s">
        <v>180</v>
      </c>
      <c r="N143" s="17">
        <v>0</v>
      </c>
      <c r="O143" s="17"/>
    </row>
    <row r="144" spans="1:15">
      <c r="A144" s="20" t="s">
        <v>390</v>
      </c>
      <c r="B144" s="15">
        <v>46067</v>
      </c>
      <c r="C144" s="16">
        <v>0.3611111111111111</v>
      </c>
      <c r="D144" s="20" t="s">
        <v>391</v>
      </c>
      <c r="E144" s="14">
        <v>15</v>
      </c>
      <c r="F144" s="14">
        <v>0</v>
      </c>
      <c r="G144" s="14">
        <v>3</v>
      </c>
      <c r="H144" s="14">
        <v>20</v>
      </c>
      <c r="I144" s="17">
        <v>948</v>
      </c>
      <c r="J144" s="19">
        <v>4.01</v>
      </c>
      <c r="K144" s="19">
        <f t="shared" si="1"/>
        <v>2.109704641350211</v>
      </c>
      <c r="L144" s="17">
        <v>143</v>
      </c>
      <c r="M144" s="14" t="s">
        <v>167</v>
      </c>
      <c r="N144" s="17">
        <v>0</v>
      </c>
      <c r="O144" s="17"/>
    </row>
    <row r="145" spans="1:15">
      <c r="A145" s="20" t="s">
        <v>392</v>
      </c>
      <c r="B145" s="15">
        <v>46067</v>
      </c>
      <c r="C145" s="16">
        <v>0.47152777777777777</v>
      </c>
      <c r="D145" s="14" t="s">
        <v>393</v>
      </c>
      <c r="E145" s="14">
        <v>11</v>
      </c>
      <c r="F145" s="14">
        <v>0</v>
      </c>
      <c r="G145" s="14">
        <v>2</v>
      </c>
      <c r="H145" s="14">
        <v>183</v>
      </c>
      <c r="I145" s="17">
        <v>736</v>
      </c>
      <c r="J145" s="19">
        <v>26.63</v>
      </c>
      <c r="K145" s="19">
        <f t="shared" si="1"/>
        <v>24.864130434782609</v>
      </c>
      <c r="L145" s="17">
        <v>144</v>
      </c>
      <c r="M145" s="14" t="s">
        <v>180</v>
      </c>
      <c r="N145" s="17">
        <v>0</v>
      </c>
      <c r="O145" s="17"/>
    </row>
    <row r="146" spans="1:15">
      <c r="A146" s="20" t="s">
        <v>394</v>
      </c>
      <c r="B146" s="15">
        <v>46067</v>
      </c>
      <c r="C146" s="16">
        <v>0.50069444444444444</v>
      </c>
      <c r="D146" s="14" t="s">
        <v>395</v>
      </c>
      <c r="E146" s="14">
        <v>2</v>
      </c>
      <c r="F146" s="14">
        <v>0</v>
      </c>
      <c r="G146" s="14">
        <v>0</v>
      </c>
      <c r="H146" s="14">
        <v>23</v>
      </c>
      <c r="I146" s="17">
        <v>743</v>
      </c>
      <c r="J146" s="19">
        <v>3.36</v>
      </c>
      <c r="K146" s="19">
        <f t="shared" si="1"/>
        <v>3.0955585464333781</v>
      </c>
      <c r="L146" s="17">
        <v>145</v>
      </c>
      <c r="M146" s="14" t="s">
        <v>167</v>
      </c>
      <c r="N146" s="17">
        <v>0</v>
      </c>
      <c r="O146" s="17"/>
    </row>
    <row r="147" spans="1:15">
      <c r="A147" s="20" t="s">
        <v>396</v>
      </c>
      <c r="B147" s="15">
        <v>46067</v>
      </c>
      <c r="C147" s="16">
        <v>0.55486111111111114</v>
      </c>
      <c r="D147" s="14" t="s">
        <v>397</v>
      </c>
      <c r="E147" s="14">
        <v>20</v>
      </c>
      <c r="F147" s="14">
        <v>0</v>
      </c>
      <c r="G147" s="17">
        <v>2</v>
      </c>
      <c r="H147" s="14">
        <v>204</v>
      </c>
      <c r="I147" s="17">
        <v>1339</v>
      </c>
      <c r="J147" s="19">
        <v>16.88</v>
      </c>
      <c r="K147" s="19">
        <f t="shared" si="1"/>
        <v>15.235250186706498</v>
      </c>
      <c r="L147" s="17">
        <v>146</v>
      </c>
      <c r="M147" s="14" t="s">
        <v>180</v>
      </c>
      <c r="N147" s="17">
        <v>0</v>
      </c>
      <c r="O147" s="17"/>
    </row>
    <row r="148" spans="1:15">
      <c r="A148" s="20" t="s">
        <v>398</v>
      </c>
      <c r="B148" s="15">
        <v>46069</v>
      </c>
      <c r="C148" s="16">
        <v>0.41597222222222224</v>
      </c>
      <c r="D148" s="20" t="s">
        <v>399</v>
      </c>
      <c r="E148" s="14">
        <v>6</v>
      </c>
      <c r="F148" s="14">
        <v>0</v>
      </c>
      <c r="G148" s="14">
        <v>0</v>
      </c>
      <c r="H148" s="14">
        <v>5</v>
      </c>
      <c r="I148" s="17">
        <v>589</v>
      </c>
      <c r="J148" s="19">
        <v>1.87</v>
      </c>
      <c r="K148" s="19">
        <f t="shared" si="1"/>
        <v>0.84889643463497455</v>
      </c>
      <c r="L148" s="17">
        <v>147</v>
      </c>
      <c r="M148" s="14" t="s">
        <v>167</v>
      </c>
      <c r="N148" s="17">
        <v>0</v>
      </c>
      <c r="O148" s="17"/>
    </row>
    <row r="149" spans="1:15">
      <c r="A149" s="20" t="s">
        <v>400</v>
      </c>
      <c r="B149" s="15">
        <v>46069</v>
      </c>
      <c r="C149" s="16">
        <v>0.55486111111111114</v>
      </c>
      <c r="D149" s="14" t="s">
        <v>401</v>
      </c>
      <c r="E149" s="14">
        <v>12</v>
      </c>
      <c r="F149" s="14">
        <v>0</v>
      </c>
      <c r="G149" s="14">
        <v>1</v>
      </c>
      <c r="H149" s="14">
        <v>11</v>
      </c>
      <c r="I149" s="17">
        <v>770</v>
      </c>
      <c r="J149" s="19">
        <v>3.12</v>
      </c>
      <c r="K149" s="19">
        <f t="shared" si="1"/>
        <v>1.4285714285714286</v>
      </c>
      <c r="L149" s="17">
        <v>148</v>
      </c>
      <c r="M149" s="14" t="s">
        <v>167</v>
      </c>
      <c r="N149" s="17">
        <v>0</v>
      </c>
      <c r="O149" s="17"/>
    </row>
    <row r="150" spans="1:15">
      <c r="A150" s="20" t="s">
        <v>402</v>
      </c>
      <c r="B150" s="15">
        <v>46070</v>
      </c>
      <c r="C150" s="16">
        <v>0.46388888888888891</v>
      </c>
      <c r="D150" s="20" t="s">
        <v>403</v>
      </c>
      <c r="E150" s="14">
        <v>6</v>
      </c>
      <c r="F150" s="14">
        <v>3</v>
      </c>
      <c r="G150" s="17">
        <v>0</v>
      </c>
      <c r="H150" s="14">
        <v>15</v>
      </c>
      <c r="I150" s="17">
        <v>1215</v>
      </c>
      <c r="J150" s="19">
        <v>1.98</v>
      </c>
      <c r="K150" s="19">
        <f t="shared" si="1"/>
        <v>1.2345679012345678</v>
      </c>
      <c r="L150" s="17">
        <v>149</v>
      </c>
      <c r="M150" s="14" t="s">
        <v>180</v>
      </c>
      <c r="N150" s="17">
        <v>0</v>
      </c>
      <c r="O150" s="17"/>
    </row>
    <row r="151" spans="1:15">
      <c r="A151" s="20" t="s">
        <v>404</v>
      </c>
      <c r="B151" s="15">
        <v>46070</v>
      </c>
      <c r="C151" s="16">
        <v>0.60902777777777772</v>
      </c>
      <c r="D151" s="14" t="s">
        <v>405</v>
      </c>
      <c r="E151" s="14">
        <v>12</v>
      </c>
      <c r="F151" s="14">
        <v>0</v>
      </c>
      <c r="G151" s="17">
        <v>2</v>
      </c>
      <c r="H151" s="14">
        <v>27</v>
      </c>
      <c r="I151" s="17">
        <v>1043</v>
      </c>
      <c r="J151" s="19">
        <v>3.93</v>
      </c>
      <c r="K151" s="19">
        <f t="shared" si="1"/>
        <v>2.588686481303931</v>
      </c>
      <c r="L151" s="17">
        <v>150</v>
      </c>
      <c r="M151" s="14" t="s">
        <v>167</v>
      </c>
      <c r="N151" s="17">
        <v>0</v>
      </c>
      <c r="O151" s="17"/>
    </row>
    <row r="152" spans="1:15">
      <c r="A152" s="20" t="s">
        <v>406</v>
      </c>
      <c r="B152" s="15">
        <v>46071</v>
      </c>
      <c r="C152" s="16">
        <v>0.28472222222222221</v>
      </c>
      <c r="D152" s="20" t="s">
        <v>407</v>
      </c>
      <c r="E152" s="14">
        <v>5</v>
      </c>
      <c r="F152" s="14">
        <v>0</v>
      </c>
      <c r="G152" s="14">
        <v>0</v>
      </c>
      <c r="H152" s="14">
        <v>9</v>
      </c>
      <c r="I152" s="17">
        <v>804</v>
      </c>
      <c r="J152" s="19">
        <v>1.74</v>
      </c>
      <c r="K152" s="19">
        <f t="shared" si="1"/>
        <v>1.1194029850746268</v>
      </c>
      <c r="L152" s="17">
        <v>151</v>
      </c>
      <c r="M152" s="14" t="s">
        <v>167</v>
      </c>
      <c r="N152" s="17">
        <v>0</v>
      </c>
      <c r="O152" s="17"/>
    </row>
    <row r="153" spans="1:15">
      <c r="A153" s="20" t="s">
        <v>408</v>
      </c>
      <c r="B153" s="15">
        <v>46071</v>
      </c>
      <c r="C153" s="16">
        <v>0.57222222222222219</v>
      </c>
      <c r="D153" s="14" t="s">
        <v>409</v>
      </c>
      <c r="E153" s="14">
        <v>14</v>
      </c>
      <c r="F153" s="14">
        <v>0</v>
      </c>
      <c r="G153" s="17">
        <v>4</v>
      </c>
      <c r="H153" s="14">
        <v>407</v>
      </c>
      <c r="I153" s="17">
        <v>1465</v>
      </c>
      <c r="J153" s="19">
        <v>29.01</v>
      </c>
      <c r="K153" s="19">
        <f t="shared" si="1"/>
        <v>27.781569965870307</v>
      </c>
      <c r="L153" s="17">
        <v>152</v>
      </c>
      <c r="M153" s="14" t="s">
        <v>180</v>
      </c>
      <c r="N153" s="17">
        <v>0</v>
      </c>
      <c r="O153" s="17"/>
    </row>
    <row r="154" spans="1:15">
      <c r="A154" s="20" t="s">
        <v>410</v>
      </c>
      <c r="B154" s="15">
        <v>46073</v>
      </c>
      <c r="C154" s="16">
        <v>0.4909722222222222</v>
      </c>
      <c r="D154" s="14" t="s">
        <v>411</v>
      </c>
      <c r="E154" s="14">
        <v>20</v>
      </c>
      <c r="F154" s="14">
        <v>0</v>
      </c>
      <c r="G154" s="17">
        <v>1</v>
      </c>
      <c r="H154" s="14">
        <v>28</v>
      </c>
      <c r="I154" s="17">
        <v>1001</v>
      </c>
      <c r="J154" s="19">
        <v>4.9000000000000004</v>
      </c>
      <c r="K154" s="19">
        <f t="shared" si="1"/>
        <v>2.7972027972027971</v>
      </c>
      <c r="L154" s="17">
        <v>153</v>
      </c>
      <c r="M154" s="14" t="s">
        <v>167</v>
      </c>
      <c r="N154" s="17">
        <v>0</v>
      </c>
      <c r="O154" s="17"/>
    </row>
    <row r="155" spans="1:15">
      <c r="A155" s="20" t="s">
        <v>412</v>
      </c>
      <c r="B155" s="15">
        <v>46073</v>
      </c>
      <c r="C155" s="16">
        <v>0.54166666666666663</v>
      </c>
      <c r="D155" s="14" t="s">
        <v>413</v>
      </c>
      <c r="E155" s="14">
        <v>29</v>
      </c>
      <c r="F155" s="14">
        <v>0</v>
      </c>
      <c r="G155" s="17">
        <v>3</v>
      </c>
      <c r="H155" s="14">
        <v>299</v>
      </c>
      <c r="I155" s="17">
        <v>1039</v>
      </c>
      <c r="J155" s="19">
        <v>31.86</v>
      </c>
      <c r="K155" s="19">
        <f t="shared" si="1"/>
        <v>28.777670837343599</v>
      </c>
      <c r="L155" s="17">
        <v>154</v>
      </c>
      <c r="M155" s="14" t="s">
        <v>180</v>
      </c>
      <c r="N155" s="17">
        <v>0</v>
      </c>
      <c r="O155" s="17"/>
    </row>
    <row r="156" spans="1:15">
      <c r="A156" s="20" t="s">
        <v>414</v>
      </c>
      <c r="B156" s="15">
        <v>46074</v>
      </c>
      <c r="C156" s="16">
        <v>0.55069444444444449</v>
      </c>
      <c r="D156" s="14" t="s">
        <v>415</v>
      </c>
      <c r="E156" s="14">
        <v>55</v>
      </c>
      <c r="F156" s="14">
        <v>2</v>
      </c>
      <c r="G156" s="17">
        <v>3</v>
      </c>
      <c r="H156" s="14">
        <v>146</v>
      </c>
      <c r="I156" s="17">
        <v>2615</v>
      </c>
      <c r="J156" s="19">
        <v>7.88</v>
      </c>
      <c r="K156" s="19">
        <f t="shared" si="1"/>
        <v>5.5831739961759084</v>
      </c>
      <c r="L156" s="17">
        <v>155</v>
      </c>
      <c r="M156" s="14" t="s">
        <v>167</v>
      </c>
      <c r="N156" s="17">
        <v>0</v>
      </c>
      <c r="O156" s="17"/>
    </row>
    <row r="157" spans="1:15">
      <c r="A157" s="20" t="s">
        <v>416</v>
      </c>
      <c r="B157" s="15">
        <v>46077</v>
      </c>
      <c r="C157" s="16">
        <v>0.56944444444444442</v>
      </c>
      <c r="D157" s="20" t="s">
        <v>417</v>
      </c>
      <c r="E157" s="14">
        <v>1</v>
      </c>
      <c r="F157" s="14">
        <v>0</v>
      </c>
      <c r="G157" s="14">
        <v>0</v>
      </c>
      <c r="H157" s="14">
        <v>10</v>
      </c>
      <c r="I157" s="17">
        <v>460</v>
      </c>
      <c r="J157" s="19">
        <v>2.39</v>
      </c>
      <c r="K157" s="19">
        <f t="shared" si="1"/>
        <v>2.1739130434782608</v>
      </c>
      <c r="L157" s="17">
        <v>156</v>
      </c>
      <c r="M157" s="14" t="s">
        <v>167</v>
      </c>
      <c r="N157" s="17">
        <v>0</v>
      </c>
      <c r="O157" s="17"/>
    </row>
    <row r="158" spans="1:15">
      <c r="A158" s="20" t="s">
        <v>418</v>
      </c>
      <c r="B158" s="15">
        <v>46077</v>
      </c>
      <c r="C158" s="16">
        <v>0.62083333333333335</v>
      </c>
      <c r="D158" s="14" t="s">
        <v>419</v>
      </c>
      <c r="E158" s="14">
        <v>19</v>
      </c>
      <c r="F158" s="14">
        <v>0</v>
      </c>
      <c r="G158" s="17">
        <v>1</v>
      </c>
      <c r="H158" s="14">
        <v>202</v>
      </c>
      <c r="I158" s="17">
        <v>1034</v>
      </c>
      <c r="J158" s="19">
        <v>21.47</v>
      </c>
      <c r="K158" s="19">
        <f t="shared" si="1"/>
        <v>19.535783365570598</v>
      </c>
      <c r="L158" s="17">
        <v>157</v>
      </c>
      <c r="M158" s="14" t="s">
        <v>180</v>
      </c>
      <c r="N158" s="17">
        <v>0</v>
      </c>
      <c r="O158" s="17"/>
    </row>
    <row r="159" spans="1:15">
      <c r="A159" s="20" t="s">
        <v>420</v>
      </c>
      <c r="B159" s="15">
        <v>46077</v>
      </c>
      <c r="C159" s="16">
        <v>0.625</v>
      </c>
      <c r="D159" s="14" t="s">
        <v>421</v>
      </c>
      <c r="E159" s="14">
        <v>7</v>
      </c>
      <c r="F159" s="14">
        <v>0</v>
      </c>
      <c r="G159" s="14">
        <v>0</v>
      </c>
      <c r="H159" s="14">
        <v>112</v>
      </c>
      <c r="I159" s="17">
        <v>663</v>
      </c>
      <c r="J159" s="19">
        <v>17.95</v>
      </c>
      <c r="K159" s="19">
        <f t="shared" si="1"/>
        <v>16.89291101055807</v>
      </c>
      <c r="L159" s="17">
        <v>158</v>
      </c>
      <c r="M159" s="14" t="s">
        <v>180</v>
      </c>
      <c r="N159" s="17">
        <v>0</v>
      </c>
      <c r="O159" s="17"/>
    </row>
    <row r="160" spans="1:15">
      <c r="A160" s="20" t="s">
        <v>422</v>
      </c>
      <c r="B160" s="15">
        <v>46078</v>
      </c>
      <c r="C160" s="16">
        <v>0.37777777777777777</v>
      </c>
      <c r="D160" s="20" t="s">
        <v>423</v>
      </c>
      <c r="E160" s="14">
        <v>108</v>
      </c>
      <c r="F160" s="14">
        <v>5</v>
      </c>
      <c r="G160" s="17">
        <v>10</v>
      </c>
      <c r="H160" s="14">
        <v>702</v>
      </c>
      <c r="I160" s="17">
        <v>10806</v>
      </c>
      <c r="J160" s="19">
        <v>7.63</v>
      </c>
      <c r="K160" s="19">
        <f t="shared" si="1"/>
        <v>6.4963908939478063</v>
      </c>
      <c r="L160" s="17">
        <v>159</v>
      </c>
      <c r="M160" s="14" t="s">
        <v>167</v>
      </c>
      <c r="N160" s="17">
        <v>0</v>
      </c>
      <c r="O160" s="17"/>
    </row>
    <row r="161" spans="1:15">
      <c r="A161" s="20" t="s">
        <v>424</v>
      </c>
      <c r="B161" s="15">
        <v>46078</v>
      </c>
      <c r="C161" s="16">
        <v>0.45833333333333331</v>
      </c>
      <c r="D161" s="14" t="s">
        <v>425</v>
      </c>
      <c r="E161" s="14">
        <v>11</v>
      </c>
      <c r="F161" s="14">
        <v>0</v>
      </c>
      <c r="G161" s="14">
        <v>0</v>
      </c>
      <c r="H161" s="14">
        <v>21</v>
      </c>
      <c r="I161" s="17">
        <v>972</v>
      </c>
      <c r="J161" s="19">
        <v>3.29</v>
      </c>
      <c r="K161" s="19">
        <f t="shared" si="1"/>
        <v>2.1604938271604937</v>
      </c>
      <c r="L161" s="17">
        <v>160</v>
      </c>
      <c r="M161" s="14" t="s">
        <v>167</v>
      </c>
      <c r="N161" s="17">
        <v>0</v>
      </c>
      <c r="O161" s="17"/>
    </row>
    <row r="162" spans="1:15">
      <c r="A162" s="20" t="s">
        <v>426</v>
      </c>
      <c r="B162" s="15">
        <v>46078</v>
      </c>
      <c r="C162" s="16">
        <v>0.57777777777777772</v>
      </c>
      <c r="D162" s="14" t="s">
        <v>427</v>
      </c>
      <c r="E162" s="14">
        <v>29</v>
      </c>
      <c r="F162" s="14">
        <v>0</v>
      </c>
      <c r="G162" s="17">
        <v>3</v>
      </c>
      <c r="H162" s="14">
        <v>267</v>
      </c>
      <c r="I162" s="17">
        <v>1105</v>
      </c>
      <c r="J162" s="19">
        <v>27.06</v>
      </c>
      <c r="K162" s="19">
        <f t="shared" si="1"/>
        <v>24.162895927601809</v>
      </c>
      <c r="L162" s="17">
        <v>161</v>
      </c>
      <c r="M162" s="14" t="s">
        <v>180</v>
      </c>
      <c r="N162" s="17">
        <v>0</v>
      </c>
      <c r="O162" s="17"/>
    </row>
    <row r="163" spans="1:15">
      <c r="A163" s="20" t="s">
        <v>428</v>
      </c>
      <c r="B163" s="15">
        <v>46079</v>
      </c>
      <c r="C163" s="16">
        <v>0.57013888888888886</v>
      </c>
      <c r="D163" s="14" t="s">
        <v>429</v>
      </c>
      <c r="E163" s="14">
        <v>16</v>
      </c>
      <c r="F163" s="14">
        <v>0</v>
      </c>
      <c r="G163" s="17">
        <v>0</v>
      </c>
      <c r="H163" s="14">
        <v>289</v>
      </c>
      <c r="I163" s="17">
        <v>1012</v>
      </c>
      <c r="J163" s="19">
        <v>30.14</v>
      </c>
      <c r="K163" s="19">
        <f t="shared" si="1"/>
        <v>28.557312252964429</v>
      </c>
      <c r="L163" s="17">
        <v>162</v>
      </c>
      <c r="M163" s="14" t="s">
        <v>180</v>
      </c>
      <c r="N163" s="17">
        <v>0</v>
      </c>
      <c r="O163" s="17"/>
    </row>
    <row r="164" spans="1:15">
      <c r="A164" s="20" t="s">
        <v>430</v>
      </c>
      <c r="B164" s="15">
        <v>46080</v>
      </c>
      <c r="C164" s="16">
        <v>0.23749999999999999</v>
      </c>
      <c r="D164" s="20" t="s">
        <v>431</v>
      </c>
      <c r="E164" s="14">
        <v>18</v>
      </c>
      <c r="F164" s="17">
        <v>5</v>
      </c>
      <c r="G164" s="17">
        <v>5</v>
      </c>
      <c r="H164" s="17">
        <v>1327</v>
      </c>
      <c r="I164" s="17">
        <v>2800</v>
      </c>
      <c r="J164" s="19">
        <v>48.39</v>
      </c>
      <c r="K164" s="19">
        <f t="shared" si="1"/>
        <v>47.392857142857139</v>
      </c>
      <c r="L164" s="17">
        <v>163</v>
      </c>
      <c r="M164" s="14" t="s">
        <v>180</v>
      </c>
      <c r="N164" s="17">
        <v>0</v>
      </c>
      <c r="O164" s="17"/>
    </row>
    <row r="165" spans="1:15">
      <c r="A165" s="20" t="s">
        <v>432</v>
      </c>
      <c r="B165" s="15">
        <v>46080</v>
      </c>
      <c r="C165" s="16">
        <v>0.28125</v>
      </c>
      <c r="D165" s="14" t="s">
        <v>433</v>
      </c>
      <c r="E165" s="14">
        <v>18</v>
      </c>
      <c r="F165" s="14">
        <v>0</v>
      </c>
      <c r="G165" s="17">
        <v>0</v>
      </c>
      <c r="H165" s="14">
        <v>227</v>
      </c>
      <c r="I165" s="17">
        <v>1036</v>
      </c>
      <c r="J165" s="19">
        <v>23.65</v>
      </c>
      <c r="K165" s="19">
        <f t="shared" si="1"/>
        <v>21.91119691119691</v>
      </c>
      <c r="L165" s="17">
        <v>164</v>
      </c>
      <c r="M165" s="14" t="s">
        <v>180</v>
      </c>
      <c r="N165" s="17">
        <v>0</v>
      </c>
      <c r="O165" s="17"/>
    </row>
    <row r="166" spans="1:15">
      <c r="A166" s="20" t="s">
        <v>434</v>
      </c>
      <c r="B166" s="15">
        <v>46080</v>
      </c>
      <c r="C166" s="16">
        <v>0.3125</v>
      </c>
      <c r="D166" s="14" t="s">
        <v>435</v>
      </c>
      <c r="E166" s="14">
        <v>18</v>
      </c>
      <c r="F166" s="14">
        <v>0</v>
      </c>
      <c r="G166" s="17">
        <v>1</v>
      </c>
      <c r="H166" s="14">
        <v>209</v>
      </c>
      <c r="I166" s="17">
        <v>1088</v>
      </c>
      <c r="J166" s="19">
        <v>20.96</v>
      </c>
      <c r="K166" s="19">
        <f t="shared" si="1"/>
        <v>19.209558823529413</v>
      </c>
      <c r="L166" s="17">
        <v>165</v>
      </c>
      <c r="M166" s="14" t="s">
        <v>180</v>
      </c>
      <c r="N166" s="17">
        <v>0</v>
      </c>
      <c r="O166" s="17"/>
    </row>
    <row r="167" spans="1:15">
      <c r="A167" s="20" t="s">
        <v>436</v>
      </c>
      <c r="B167" s="15">
        <v>46081</v>
      </c>
      <c r="C167" s="16">
        <v>0.28125</v>
      </c>
      <c r="D167" s="14" t="s">
        <v>437</v>
      </c>
      <c r="E167" s="14">
        <v>24</v>
      </c>
      <c r="F167" s="14">
        <v>0</v>
      </c>
      <c r="G167" s="14">
        <v>1</v>
      </c>
      <c r="H167" s="14">
        <v>14</v>
      </c>
      <c r="I167" s="17">
        <v>756</v>
      </c>
      <c r="J167" s="19">
        <v>5.16</v>
      </c>
      <c r="K167" s="19">
        <f t="shared" si="1"/>
        <v>1.8518518518518516</v>
      </c>
      <c r="L167" s="17">
        <v>166</v>
      </c>
      <c r="M167" s="14" t="s">
        <v>178</v>
      </c>
      <c r="N167" s="17">
        <v>0</v>
      </c>
      <c r="O167" s="17"/>
    </row>
    <row r="168" spans="1:15">
      <c r="A168" s="20" t="s">
        <v>438</v>
      </c>
      <c r="B168" s="15">
        <v>46081</v>
      </c>
      <c r="C168" s="16">
        <v>0.44791666666666669</v>
      </c>
      <c r="D168" s="14" t="s">
        <v>439</v>
      </c>
      <c r="E168" s="14">
        <v>17</v>
      </c>
      <c r="F168" s="14">
        <v>0</v>
      </c>
      <c r="G168" s="14">
        <v>0</v>
      </c>
      <c r="H168" s="14">
        <v>40</v>
      </c>
      <c r="I168" s="17">
        <v>923</v>
      </c>
      <c r="J168" s="19">
        <v>6.18</v>
      </c>
      <c r="K168" s="19">
        <f t="shared" si="1"/>
        <v>4.3336944745395449</v>
      </c>
      <c r="L168" s="17">
        <v>167</v>
      </c>
      <c r="M168" s="14" t="s">
        <v>167</v>
      </c>
      <c r="N168" s="17">
        <v>0</v>
      </c>
      <c r="O168" s="17"/>
    </row>
    <row r="169" spans="1:15">
      <c r="A169" s="20" t="s">
        <v>440</v>
      </c>
      <c r="B169" s="15">
        <v>46081</v>
      </c>
      <c r="C169" s="16">
        <v>0.49652777777777779</v>
      </c>
      <c r="D169" s="14" t="s">
        <v>441</v>
      </c>
      <c r="E169" s="14">
        <v>23</v>
      </c>
      <c r="F169" s="14">
        <v>0</v>
      </c>
      <c r="G169" s="17">
        <v>1</v>
      </c>
      <c r="H169" s="14">
        <v>17</v>
      </c>
      <c r="I169" s="17">
        <v>1021</v>
      </c>
      <c r="J169" s="19">
        <v>4.0199999999999996</v>
      </c>
      <c r="K169" s="19">
        <f t="shared" si="1"/>
        <v>1.665034280117532</v>
      </c>
      <c r="L169" s="17">
        <v>168</v>
      </c>
      <c r="M169" s="14" t="s">
        <v>167</v>
      </c>
      <c r="N169" s="17">
        <v>0</v>
      </c>
      <c r="O169" s="17"/>
    </row>
    <row r="170" spans="1:15">
      <c r="A170" s="20" t="s">
        <v>442</v>
      </c>
      <c r="B170" s="15">
        <v>46081</v>
      </c>
      <c r="C170" s="16">
        <v>0.5131944444444444</v>
      </c>
      <c r="D170" s="20" t="s">
        <v>443</v>
      </c>
      <c r="E170" s="14">
        <v>46</v>
      </c>
      <c r="F170" s="14">
        <v>8</v>
      </c>
      <c r="G170" s="17">
        <v>5</v>
      </c>
      <c r="H170" s="14">
        <v>222</v>
      </c>
      <c r="I170" s="17">
        <v>6154</v>
      </c>
      <c r="J170" s="19">
        <v>4.57</v>
      </c>
      <c r="K170" s="19">
        <f t="shared" si="1"/>
        <v>3.6074098147546314</v>
      </c>
      <c r="L170" s="17">
        <v>169</v>
      </c>
      <c r="M170" s="14" t="s">
        <v>167</v>
      </c>
      <c r="N170" s="17">
        <v>0</v>
      </c>
      <c r="O170" s="17"/>
    </row>
    <row r="171" spans="1:15">
      <c r="A171" s="20" t="s">
        <v>444</v>
      </c>
      <c r="B171" s="15">
        <v>46081</v>
      </c>
      <c r="C171" s="16">
        <v>0.55208333333333337</v>
      </c>
      <c r="D171" s="14" t="s">
        <v>445</v>
      </c>
      <c r="E171" s="14">
        <v>12</v>
      </c>
      <c r="F171" s="14">
        <v>0</v>
      </c>
      <c r="G171" s="17">
        <v>0</v>
      </c>
      <c r="H171" s="14">
        <v>55</v>
      </c>
      <c r="I171" s="17">
        <v>1044</v>
      </c>
      <c r="J171" s="19">
        <v>6.42</v>
      </c>
      <c r="K171" s="19">
        <f t="shared" si="1"/>
        <v>5.2681992337164747</v>
      </c>
      <c r="L171" s="17">
        <v>170</v>
      </c>
      <c r="M171" s="14" t="s">
        <v>167</v>
      </c>
      <c r="N171" s="17">
        <v>0</v>
      </c>
      <c r="O171" s="17"/>
    </row>
    <row r="172" spans="1:15">
      <c r="A172" s="20" t="s">
        <v>446</v>
      </c>
      <c r="B172" s="15">
        <v>46083</v>
      </c>
      <c r="C172" s="16">
        <v>0.29236111111111113</v>
      </c>
      <c r="D172" s="20" t="s">
        <v>447</v>
      </c>
      <c r="E172" s="14">
        <v>29</v>
      </c>
      <c r="F172" s="14">
        <v>1</v>
      </c>
      <c r="G172" s="17">
        <v>4</v>
      </c>
      <c r="H172" s="14">
        <v>122</v>
      </c>
      <c r="I172" s="17">
        <v>4627</v>
      </c>
      <c r="J172" s="19">
        <v>3.37</v>
      </c>
      <c r="K172" s="19">
        <f t="shared" si="1"/>
        <v>2.6366976442619405</v>
      </c>
      <c r="L172" s="17">
        <v>171</v>
      </c>
      <c r="M172" s="14" t="s">
        <v>167</v>
      </c>
      <c r="N172" s="17">
        <v>0</v>
      </c>
      <c r="O172" s="17"/>
    </row>
    <row r="173" spans="1:15">
      <c r="A173" s="20" t="s">
        <v>448</v>
      </c>
      <c r="B173" s="15">
        <v>46084</v>
      </c>
      <c r="C173" s="16">
        <v>0.41388888888888886</v>
      </c>
      <c r="D173" s="20" t="s">
        <v>449</v>
      </c>
      <c r="E173" s="14">
        <v>6</v>
      </c>
      <c r="F173" s="14">
        <v>0</v>
      </c>
      <c r="G173" s="17">
        <v>1</v>
      </c>
      <c r="H173" s="14">
        <v>296</v>
      </c>
      <c r="I173" s="17">
        <v>4800</v>
      </c>
      <c r="J173" s="19">
        <v>6.31</v>
      </c>
      <c r="K173" s="19">
        <f t="shared" si="1"/>
        <v>6.166666666666667</v>
      </c>
      <c r="L173" s="17">
        <v>172</v>
      </c>
      <c r="M173" s="14" t="s">
        <v>180</v>
      </c>
      <c r="N173" s="17">
        <v>0</v>
      </c>
      <c r="O173" s="17"/>
    </row>
    <row r="174" spans="1:15">
      <c r="A174" s="20" t="s">
        <v>450</v>
      </c>
      <c r="B174" s="15">
        <v>46085</v>
      </c>
      <c r="C174" s="16">
        <v>0.33750000000000002</v>
      </c>
      <c r="D174" s="14" t="s">
        <v>451</v>
      </c>
      <c r="E174" s="14">
        <v>4</v>
      </c>
      <c r="F174" s="14">
        <v>0</v>
      </c>
      <c r="G174" s="14">
        <v>0</v>
      </c>
      <c r="H174" s="14">
        <v>111</v>
      </c>
      <c r="I174" s="17">
        <v>817</v>
      </c>
      <c r="J174" s="19">
        <v>14.08</v>
      </c>
      <c r="K174" s="19">
        <f t="shared" si="1"/>
        <v>13.586291309669523</v>
      </c>
      <c r="L174" s="17">
        <v>173</v>
      </c>
      <c r="M174" s="14" t="s">
        <v>167</v>
      </c>
      <c r="N174" s="17">
        <v>0</v>
      </c>
      <c r="O174" s="17"/>
    </row>
    <row r="175" spans="1:15">
      <c r="A175" s="20" t="s">
        <v>452</v>
      </c>
      <c r="B175" s="15">
        <v>46085</v>
      </c>
      <c r="C175" s="16">
        <v>0.48333333333333334</v>
      </c>
      <c r="D175" s="20" t="s">
        <v>453</v>
      </c>
      <c r="E175" s="14">
        <v>24</v>
      </c>
      <c r="F175" s="17">
        <v>0</v>
      </c>
      <c r="G175" s="17">
        <v>3</v>
      </c>
      <c r="H175" s="17">
        <v>4493</v>
      </c>
      <c r="I175" s="17">
        <v>1842</v>
      </c>
      <c r="J175" s="19">
        <v>245.39</v>
      </c>
      <c r="K175" s="19">
        <f t="shared" si="1"/>
        <v>243.91965255157436</v>
      </c>
      <c r="L175" s="17">
        <v>174</v>
      </c>
      <c r="M175" s="14" t="s">
        <v>180</v>
      </c>
      <c r="N175" s="17">
        <v>0</v>
      </c>
      <c r="O175" s="17"/>
    </row>
    <row r="176" spans="1:15">
      <c r="A176" s="20" t="s">
        <v>454</v>
      </c>
      <c r="B176" s="15">
        <v>46085</v>
      </c>
      <c r="C176" s="16">
        <v>0.59444444444444444</v>
      </c>
      <c r="D176" s="14" t="s">
        <v>455</v>
      </c>
      <c r="E176" s="14">
        <v>9</v>
      </c>
      <c r="F176" s="14">
        <v>0</v>
      </c>
      <c r="G176" s="17">
        <v>0</v>
      </c>
      <c r="H176" s="14">
        <v>579</v>
      </c>
      <c r="I176" s="17">
        <v>1053</v>
      </c>
      <c r="J176" s="19">
        <v>55.84</v>
      </c>
      <c r="K176" s="19">
        <f t="shared" si="1"/>
        <v>54.985754985754987</v>
      </c>
      <c r="L176" s="17">
        <v>175</v>
      </c>
      <c r="M176" s="14" t="s">
        <v>180</v>
      </c>
      <c r="N176" s="17">
        <v>0</v>
      </c>
      <c r="O176" s="17"/>
    </row>
    <row r="177" spans="1:15">
      <c r="A177" s="20" t="s">
        <v>456</v>
      </c>
      <c r="B177" s="15">
        <v>46089</v>
      </c>
      <c r="C177" s="16">
        <v>0.22013888888888888</v>
      </c>
      <c r="D177" s="14" t="s">
        <v>457</v>
      </c>
      <c r="E177" s="14">
        <v>52</v>
      </c>
      <c r="F177" s="14">
        <v>0</v>
      </c>
      <c r="G177" s="17">
        <v>4</v>
      </c>
      <c r="H177" s="14">
        <v>146</v>
      </c>
      <c r="I177" s="17">
        <v>1618</v>
      </c>
      <c r="J177" s="19">
        <v>12.48</v>
      </c>
      <c r="K177" s="19">
        <f t="shared" si="1"/>
        <v>9.0234857849196537</v>
      </c>
      <c r="L177" s="17">
        <v>176</v>
      </c>
      <c r="M177" s="14" t="s">
        <v>178</v>
      </c>
      <c r="N177" s="17">
        <v>0</v>
      </c>
      <c r="O177" s="17"/>
    </row>
    <row r="178" spans="1:15">
      <c r="A178" s="23" t="s">
        <v>458</v>
      </c>
      <c r="B178" s="24">
        <v>46091</v>
      </c>
      <c r="C178" s="25">
        <v>0.32708333333333334</v>
      </c>
      <c r="D178" s="20" t="s">
        <v>459</v>
      </c>
      <c r="E178" s="17">
        <v>47</v>
      </c>
      <c r="F178" s="17">
        <v>0</v>
      </c>
      <c r="G178" s="17">
        <v>5</v>
      </c>
      <c r="H178" s="17">
        <v>103</v>
      </c>
      <c r="I178" s="17">
        <v>2383</v>
      </c>
      <c r="J178" s="19">
        <v>6.5</v>
      </c>
      <c r="K178" s="19">
        <f t="shared" si="1"/>
        <v>4.3222828367603858</v>
      </c>
      <c r="L178" s="17">
        <v>177</v>
      </c>
      <c r="M178" s="14" t="s">
        <v>167</v>
      </c>
      <c r="N178" s="17">
        <v>0</v>
      </c>
      <c r="O178" s="17"/>
    </row>
    <row r="179" spans="1:15">
      <c r="A179" s="20" t="s">
        <v>460</v>
      </c>
      <c r="B179" s="24">
        <v>46091</v>
      </c>
      <c r="C179" s="25">
        <v>0.57430555555555551</v>
      </c>
      <c r="D179" s="14" t="s">
        <v>461</v>
      </c>
      <c r="E179" s="17">
        <v>21</v>
      </c>
      <c r="F179" s="17">
        <v>0</v>
      </c>
      <c r="G179" s="17">
        <v>3</v>
      </c>
      <c r="H179" s="17">
        <v>232</v>
      </c>
      <c r="I179" s="17">
        <v>676</v>
      </c>
      <c r="J179" s="19">
        <v>37.869999999999997</v>
      </c>
      <c r="K179" s="19">
        <f t="shared" si="1"/>
        <v>34.319526627218934</v>
      </c>
      <c r="L179" s="17">
        <v>178</v>
      </c>
      <c r="M179" s="14" t="s">
        <v>180</v>
      </c>
      <c r="N179" s="17">
        <v>0</v>
      </c>
      <c r="O179" s="17"/>
    </row>
    <row r="180" spans="1:15">
      <c r="A180" s="20" t="s">
        <v>462</v>
      </c>
      <c r="B180" s="24">
        <v>46091</v>
      </c>
      <c r="C180" s="25">
        <v>0.60416666666666663</v>
      </c>
      <c r="D180" s="14" t="s">
        <v>463</v>
      </c>
      <c r="E180" s="17">
        <v>27</v>
      </c>
      <c r="F180" s="17">
        <v>0</v>
      </c>
      <c r="G180" s="17">
        <v>2</v>
      </c>
      <c r="H180" s="17">
        <v>52</v>
      </c>
      <c r="I180" s="17">
        <v>1120</v>
      </c>
      <c r="J180" s="19">
        <v>7.23</v>
      </c>
      <c r="K180" s="19">
        <f t="shared" si="1"/>
        <v>4.6428571428571432</v>
      </c>
      <c r="L180" s="17">
        <v>179</v>
      </c>
      <c r="M180" s="14" t="s">
        <v>167</v>
      </c>
      <c r="N180" s="17">
        <v>0</v>
      </c>
      <c r="O180" s="17"/>
    </row>
    <row r="181" spans="1:15">
      <c r="A181" s="20" t="s">
        <v>464</v>
      </c>
      <c r="B181" s="24">
        <v>46092</v>
      </c>
      <c r="C181" s="25">
        <v>0.36249999999999999</v>
      </c>
      <c r="D181" s="20" t="s">
        <v>465</v>
      </c>
      <c r="E181" s="17">
        <v>7</v>
      </c>
      <c r="F181" s="17">
        <v>0</v>
      </c>
      <c r="G181" s="17">
        <v>1</v>
      </c>
      <c r="H181" s="17">
        <v>33</v>
      </c>
      <c r="I181" s="17">
        <v>1095</v>
      </c>
      <c r="J181" s="19">
        <v>3.74</v>
      </c>
      <c r="K181" s="19">
        <f t="shared" si="1"/>
        <v>3.0136986301369864</v>
      </c>
      <c r="L181" s="17">
        <v>180</v>
      </c>
      <c r="M181" s="14" t="s">
        <v>466</v>
      </c>
      <c r="N181" s="17">
        <v>0</v>
      </c>
      <c r="O181" s="17"/>
    </row>
    <row r="182" spans="1:15">
      <c r="A182" s="20" t="s">
        <v>467</v>
      </c>
      <c r="B182" s="24">
        <v>46092</v>
      </c>
      <c r="C182" s="25">
        <v>0.47708333333333336</v>
      </c>
      <c r="D182" s="20" t="s">
        <v>468</v>
      </c>
      <c r="E182" s="17">
        <v>13</v>
      </c>
      <c r="F182" s="17">
        <v>2</v>
      </c>
      <c r="G182" s="17">
        <v>2</v>
      </c>
      <c r="H182" s="17">
        <v>29</v>
      </c>
      <c r="I182" s="17">
        <v>798</v>
      </c>
      <c r="J182" s="19">
        <v>5.76</v>
      </c>
      <c r="K182" s="19">
        <f t="shared" si="1"/>
        <v>3.6340852130325811</v>
      </c>
      <c r="L182" s="17">
        <v>181</v>
      </c>
      <c r="M182" s="14" t="s">
        <v>167</v>
      </c>
      <c r="N182" s="17">
        <v>0</v>
      </c>
      <c r="O182" s="17"/>
    </row>
    <row r="183" spans="1:15">
      <c r="A183" s="20" t="s">
        <v>469</v>
      </c>
      <c r="B183" s="24">
        <v>46092</v>
      </c>
      <c r="C183" s="25">
        <v>0.59375</v>
      </c>
      <c r="D183" s="14" t="s">
        <v>470</v>
      </c>
      <c r="E183" s="17">
        <v>15</v>
      </c>
      <c r="F183" s="17">
        <v>0</v>
      </c>
      <c r="G183" s="17">
        <v>0</v>
      </c>
      <c r="H183" s="17">
        <v>10</v>
      </c>
      <c r="I183" s="17">
        <v>551</v>
      </c>
      <c r="J183" s="19">
        <v>4.54</v>
      </c>
      <c r="K183" s="19">
        <f t="shared" si="1"/>
        <v>1.8148820326678767</v>
      </c>
      <c r="L183" s="17">
        <v>182</v>
      </c>
      <c r="M183" s="14" t="s">
        <v>167</v>
      </c>
      <c r="N183" s="17">
        <v>0</v>
      </c>
      <c r="O183" s="17"/>
    </row>
    <row r="184" spans="1:15">
      <c r="A184" s="1" t="s">
        <v>471</v>
      </c>
      <c r="B184" s="26">
        <v>46093</v>
      </c>
      <c r="C184" s="27">
        <v>0.47916666666666669</v>
      </c>
      <c r="D184" s="5" t="s">
        <v>472</v>
      </c>
      <c r="E184" s="6">
        <v>13</v>
      </c>
      <c r="F184" s="6">
        <v>0</v>
      </c>
      <c r="G184" s="6">
        <v>3</v>
      </c>
      <c r="H184" s="6">
        <v>27</v>
      </c>
      <c r="I184" s="7">
        <v>1148</v>
      </c>
      <c r="J184" s="6">
        <v>3.75</v>
      </c>
      <c r="K184" s="19">
        <f t="shared" si="1"/>
        <v>2.3519163763066202</v>
      </c>
      <c r="L184" s="17">
        <v>183</v>
      </c>
      <c r="M184" s="14" t="s">
        <v>466</v>
      </c>
      <c r="N184" s="17">
        <v>0</v>
      </c>
      <c r="O184" s="17"/>
    </row>
    <row r="185" spans="1:15">
      <c r="A185" s="5" t="s">
        <v>473</v>
      </c>
      <c r="B185" s="26">
        <v>46093</v>
      </c>
      <c r="C185" s="27">
        <v>0.58750000000000002</v>
      </c>
      <c r="D185" s="2" t="s">
        <v>73</v>
      </c>
      <c r="E185" s="3">
        <v>15</v>
      </c>
      <c r="F185" s="3">
        <v>0</v>
      </c>
      <c r="G185" s="3">
        <v>0</v>
      </c>
      <c r="H185" s="3">
        <v>21</v>
      </c>
      <c r="I185" s="3">
        <v>604</v>
      </c>
      <c r="J185" s="3">
        <v>5.96</v>
      </c>
      <c r="K185" s="19">
        <f t="shared" si="1"/>
        <v>3.4768211920529799</v>
      </c>
      <c r="L185" s="17">
        <v>184</v>
      </c>
      <c r="M185" s="14" t="s">
        <v>167</v>
      </c>
      <c r="N185" s="17">
        <v>0</v>
      </c>
      <c r="O185" s="17"/>
    </row>
    <row r="186" spans="1:15">
      <c r="A186" s="5" t="s">
        <v>474</v>
      </c>
      <c r="B186" s="26">
        <v>46093</v>
      </c>
      <c r="C186" s="27">
        <v>0.60069444444444442</v>
      </c>
      <c r="D186" s="8" t="s">
        <v>74</v>
      </c>
      <c r="E186" s="6">
        <v>11</v>
      </c>
      <c r="F186" s="6">
        <v>0</v>
      </c>
      <c r="G186" s="6">
        <v>2</v>
      </c>
      <c r="H186" s="6">
        <v>462</v>
      </c>
      <c r="I186" s="7">
        <v>1444</v>
      </c>
      <c r="J186" s="28">
        <v>32.89</v>
      </c>
      <c r="K186" s="19">
        <f t="shared" si="1"/>
        <v>31.994459833795013</v>
      </c>
      <c r="L186" s="17">
        <v>185</v>
      </c>
      <c r="M186" s="14" t="s">
        <v>180</v>
      </c>
      <c r="N186" s="17">
        <v>0</v>
      </c>
      <c r="O186" s="17"/>
    </row>
    <row r="187" spans="1:15">
      <c r="A187" s="5" t="s">
        <v>475</v>
      </c>
      <c r="B187" s="26">
        <v>46094</v>
      </c>
      <c r="C187" s="27">
        <v>0.5493055555555556</v>
      </c>
      <c r="D187" s="2" t="s">
        <v>75</v>
      </c>
      <c r="E187" s="3">
        <v>14</v>
      </c>
      <c r="F187" s="3">
        <v>2</v>
      </c>
      <c r="G187" s="3">
        <v>0</v>
      </c>
      <c r="H187" s="3">
        <v>48</v>
      </c>
      <c r="I187" s="4">
        <v>1642</v>
      </c>
      <c r="J187" s="28">
        <v>3.9</v>
      </c>
      <c r="K187" s="19">
        <f t="shared" si="1"/>
        <v>2.9232643118148598</v>
      </c>
      <c r="L187" s="17">
        <v>186</v>
      </c>
      <c r="M187" s="14" t="s">
        <v>167</v>
      </c>
      <c r="N187" s="17">
        <v>0</v>
      </c>
      <c r="O187" s="17"/>
    </row>
    <row r="188" spans="1:15">
      <c r="A188" s="5" t="s">
        <v>476</v>
      </c>
      <c r="B188" s="26">
        <v>46094</v>
      </c>
      <c r="C188" s="27">
        <v>0.60277777777777775</v>
      </c>
      <c r="D188" s="5" t="s">
        <v>477</v>
      </c>
      <c r="E188" s="6">
        <v>46</v>
      </c>
      <c r="F188" s="6">
        <v>0</v>
      </c>
      <c r="G188" s="6">
        <v>14</v>
      </c>
      <c r="H188" s="6">
        <v>76</v>
      </c>
      <c r="I188" s="7">
        <v>2149</v>
      </c>
      <c r="J188" s="28">
        <v>6.33</v>
      </c>
      <c r="K188" s="19">
        <f t="shared" si="1"/>
        <v>3.5365286179618427</v>
      </c>
      <c r="L188" s="17">
        <v>187</v>
      </c>
      <c r="M188" s="28" t="s">
        <v>178</v>
      </c>
      <c r="N188" s="17">
        <v>0</v>
      </c>
      <c r="O188" s="17"/>
    </row>
    <row r="189" spans="1:15">
      <c r="A189" s="5" t="s">
        <v>478</v>
      </c>
      <c r="B189" s="26">
        <v>46095</v>
      </c>
      <c r="C189" s="27">
        <v>0.29305555555555557</v>
      </c>
      <c r="D189" s="5" t="s">
        <v>479</v>
      </c>
      <c r="E189" s="3">
        <v>2</v>
      </c>
      <c r="F189" s="3">
        <v>0</v>
      </c>
      <c r="G189" s="3">
        <v>0</v>
      </c>
      <c r="H189" s="3">
        <v>15</v>
      </c>
      <c r="I189" s="4">
        <v>1075</v>
      </c>
      <c r="J189" s="28">
        <v>1.58</v>
      </c>
      <c r="K189" s="19">
        <f t="shared" si="1"/>
        <v>1.3953488372093024</v>
      </c>
      <c r="L189" s="17">
        <v>188</v>
      </c>
      <c r="M189" s="14" t="s">
        <v>466</v>
      </c>
      <c r="N189" s="17">
        <v>0</v>
      </c>
      <c r="O189" s="17"/>
    </row>
    <row r="190" spans="1:15">
      <c r="A190" s="5" t="s">
        <v>480</v>
      </c>
      <c r="B190" s="26">
        <v>46096</v>
      </c>
      <c r="C190" s="27">
        <v>0.26944444444444443</v>
      </c>
      <c r="D190" s="5" t="s">
        <v>481</v>
      </c>
      <c r="E190" s="6">
        <v>91</v>
      </c>
      <c r="F190" s="6">
        <v>0</v>
      </c>
      <c r="G190" s="6">
        <v>6</v>
      </c>
      <c r="H190" s="6">
        <v>183</v>
      </c>
      <c r="I190" s="7">
        <v>3423</v>
      </c>
      <c r="J190" s="28">
        <v>8.18</v>
      </c>
      <c r="K190" s="19">
        <f t="shared" si="1"/>
        <v>5.3461875547765114</v>
      </c>
      <c r="L190" s="17">
        <v>189</v>
      </c>
      <c r="M190" s="14" t="s">
        <v>167</v>
      </c>
      <c r="N190" s="17">
        <v>0</v>
      </c>
      <c r="O190" s="17"/>
    </row>
    <row r="191" spans="1:15">
      <c r="A191" s="5" t="s">
        <v>482</v>
      </c>
      <c r="B191" s="26">
        <v>46097</v>
      </c>
      <c r="C191" s="27">
        <v>0.28055555555555556</v>
      </c>
      <c r="D191" s="2" t="s">
        <v>76</v>
      </c>
      <c r="E191" s="3">
        <v>45</v>
      </c>
      <c r="F191" s="3">
        <v>2</v>
      </c>
      <c r="G191" s="3">
        <v>2</v>
      </c>
      <c r="H191" s="3">
        <v>105</v>
      </c>
      <c r="I191" s="4">
        <v>3106</v>
      </c>
      <c r="J191" s="28">
        <v>4.99</v>
      </c>
      <c r="K191" s="19">
        <f t="shared" si="1"/>
        <v>3.3805537669027692</v>
      </c>
      <c r="L191" s="17">
        <v>190</v>
      </c>
      <c r="M191" s="14" t="s">
        <v>180</v>
      </c>
      <c r="N191" s="17">
        <v>0</v>
      </c>
      <c r="O191" s="17"/>
    </row>
    <row r="192" spans="1:15">
      <c r="A192" s="5" t="s">
        <v>483</v>
      </c>
      <c r="B192" s="26">
        <v>46097</v>
      </c>
      <c r="C192" s="27">
        <v>0.33750000000000002</v>
      </c>
      <c r="D192" s="5" t="s">
        <v>484</v>
      </c>
      <c r="E192" s="6">
        <v>13</v>
      </c>
      <c r="F192" s="6">
        <v>0</v>
      </c>
      <c r="G192" s="6">
        <v>2</v>
      </c>
      <c r="H192" s="6">
        <v>43</v>
      </c>
      <c r="I192" s="7">
        <v>1279</v>
      </c>
      <c r="J192" s="28">
        <v>4.53</v>
      </c>
      <c r="K192" s="19">
        <f t="shared" si="1"/>
        <v>3.3620015637216576</v>
      </c>
      <c r="L192" s="17">
        <v>191</v>
      </c>
      <c r="M192" s="14" t="s">
        <v>466</v>
      </c>
      <c r="N192" s="17">
        <v>0</v>
      </c>
      <c r="O192" s="17"/>
    </row>
    <row r="193" spans="1:15">
      <c r="A193" s="5" t="s">
        <v>485</v>
      </c>
      <c r="B193" s="26">
        <v>46097</v>
      </c>
      <c r="C193" s="27">
        <v>0.6118055555555556</v>
      </c>
      <c r="D193" s="2" t="s">
        <v>77</v>
      </c>
      <c r="E193" s="3">
        <v>25</v>
      </c>
      <c r="F193" s="3">
        <v>1</v>
      </c>
      <c r="G193" s="3">
        <v>1</v>
      </c>
      <c r="H193" s="3">
        <v>41</v>
      </c>
      <c r="I193" s="4">
        <v>1680</v>
      </c>
      <c r="J193" s="28">
        <v>4.05</v>
      </c>
      <c r="K193" s="19">
        <f t="shared" si="1"/>
        <v>2.4404761904761907</v>
      </c>
      <c r="L193" s="17">
        <v>192</v>
      </c>
      <c r="M193" s="14" t="s">
        <v>167</v>
      </c>
      <c r="N193" s="17">
        <v>0</v>
      </c>
      <c r="O193" s="17"/>
    </row>
    <row r="194" spans="1:15">
      <c r="A194" s="5" t="s">
        <v>486</v>
      </c>
      <c r="B194" s="26">
        <v>46099</v>
      </c>
      <c r="C194" s="27">
        <v>0.48472222222222222</v>
      </c>
      <c r="D194" s="8" t="s">
        <v>78</v>
      </c>
      <c r="E194" s="6">
        <v>27</v>
      </c>
      <c r="F194" s="6">
        <v>0</v>
      </c>
      <c r="G194" s="6">
        <v>3</v>
      </c>
      <c r="H194" s="6">
        <v>53</v>
      </c>
      <c r="I194" s="7">
        <v>1226</v>
      </c>
      <c r="J194" s="28">
        <v>6.77</v>
      </c>
      <c r="K194" s="19">
        <f t="shared" si="1"/>
        <v>4.3230016313213699</v>
      </c>
      <c r="L194" s="17">
        <v>193</v>
      </c>
      <c r="M194" s="14" t="s">
        <v>167</v>
      </c>
      <c r="N194" s="17">
        <v>0</v>
      </c>
      <c r="O194" s="17"/>
    </row>
    <row r="195" spans="1:15">
      <c r="A195" s="5" t="s">
        <v>487</v>
      </c>
      <c r="B195" s="26">
        <v>46099</v>
      </c>
      <c r="C195" s="27">
        <v>0.52083333333333337</v>
      </c>
      <c r="D195" s="2" t="s">
        <v>79</v>
      </c>
      <c r="E195" s="3">
        <v>82</v>
      </c>
      <c r="F195" s="3">
        <v>1</v>
      </c>
      <c r="G195" s="3">
        <v>6</v>
      </c>
      <c r="H195" s="3">
        <v>201</v>
      </c>
      <c r="I195" s="4">
        <v>4528</v>
      </c>
      <c r="J195" s="28">
        <v>6.4</v>
      </c>
      <c r="K195" s="19">
        <f t="shared" si="1"/>
        <v>4.4390459363957602</v>
      </c>
      <c r="L195" s="17">
        <v>194</v>
      </c>
      <c r="M195" s="14" t="s">
        <v>167</v>
      </c>
      <c r="N195" s="17">
        <v>0</v>
      </c>
      <c r="O195" s="17"/>
    </row>
    <row r="196" spans="1:15">
      <c r="A196" s="5" t="s">
        <v>488</v>
      </c>
      <c r="B196" s="26">
        <v>46101</v>
      </c>
      <c r="C196" s="27">
        <v>0.58125000000000004</v>
      </c>
      <c r="D196" s="5" t="s">
        <v>489</v>
      </c>
      <c r="E196" s="6">
        <v>42</v>
      </c>
      <c r="F196" s="6">
        <v>1</v>
      </c>
      <c r="G196" s="6">
        <v>3</v>
      </c>
      <c r="H196" s="6">
        <v>573</v>
      </c>
      <c r="I196" s="7">
        <v>6862</v>
      </c>
      <c r="J196" s="28">
        <v>9.02</v>
      </c>
      <c r="K196" s="19">
        <f t="shared" si="1"/>
        <v>8.3503351792480327</v>
      </c>
      <c r="L196" s="17">
        <v>195</v>
      </c>
      <c r="M196" s="14" t="s">
        <v>167</v>
      </c>
      <c r="N196" s="17">
        <v>0</v>
      </c>
      <c r="O196" s="17"/>
    </row>
    <row r="197" spans="1:15">
      <c r="A197" s="5" t="s">
        <v>490</v>
      </c>
      <c r="B197" s="26">
        <v>46104</v>
      </c>
      <c r="C197" s="27">
        <v>0.52013888888888893</v>
      </c>
      <c r="D197" s="5" t="s">
        <v>491</v>
      </c>
      <c r="E197" s="3">
        <v>15</v>
      </c>
      <c r="F197" s="3">
        <v>0</v>
      </c>
      <c r="G197" s="3">
        <v>0</v>
      </c>
      <c r="H197" s="3">
        <v>58</v>
      </c>
      <c r="I197" s="4">
        <v>1204</v>
      </c>
      <c r="J197" s="28">
        <v>6.06</v>
      </c>
      <c r="K197" s="19">
        <f t="shared" si="1"/>
        <v>4.8172757475083063</v>
      </c>
      <c r="L197" s="17">
        <v>196</v>
      </c>
      <c r="M197" s="14" t="s">
        <v>466</v>
      </c>
      <c r="N197" s="17">
        <v>0</v>
      </c>
      <c r="O197" s="17"/>
    </row>
    <row r="198" spans="1:15">
      <c r="A198" s="5" t="s">
        <v>492</v>
      </c>
      <c r="B198" s="26">
        <v>46104</v>
      </c>
      <c r="C198" s="27">
        <v>0.54236111111111107</v>
      </c>
      <c r="D198" s="8" t="s">
        <v>80</v>
      </c>
      <c r="E198" s="6">
        <v>15</v>
      </c>
      <c r="F198" s="6">
        <v>5</v>
      </c>
      <c r="G198" s="6">
        <v>1</v>
      </c>
      <c r="H198" s="6">
        <v>36</v>
      </c>
      <c r="I198" s="7">
        <v>1181</v>
      </c>
      <c r="J198" s="28">
        <v>4.91</v>
      </c>
      <c r="K198" s="19">
        <f t="shared" si="1"/>
        <v>3.048264182895851</v>
      </c>
      <c r="L198" s="17">
        <v>197</v>
      </c>
      <c r="M198" s="14" t="s">
        <v>180</v>
      </c>
      <c r="N198" s="17">
        <v>0</v>
      </c>
      <c r="O198" s="17"/>
    </row>
    <row r="199" spans="1:15">
      <c r="A199" s="5" t="s">
        <v>493</v>
      </c>
      <c r="B199" s="26">
        <v>46104</v>
      </c>
      <c r="C199" s="27">
        <v>0.58333333333333337</v>
      </c>
      <c r="D199" s="2" t="s">
        <v>81</v>
      </c>
      <c r="E199" s="3">
        <v>25</v>
      </c>
      <c r="F199" s="3">
        <v>0</v>
      </c>
      <c r="G199" s="3">
        <v>1</v>
      </c>
      <c r="H199" s="3">
        <v>15</v>
      </c>
      <c r="I199" s="4">
        <v>1516</v>
      </c>
      <c r="J199" s="28">
        <v>2.7</v>
      </c>
      <c r="K199" s="19">
        <f t="shared" si="1"/>
        <v>0.98944591029023754</v>
      </c>
      <c r="L199" s="17">
        <v>198</v>
      </c>
      <c r="M199" s="14" t="s">
        <v>167</v>
      </c>
      <c r="N199" s="17">
        <v>0</v>
      </c>
      <c r="O199" s="17"/>
    </row>
    <row r="200" spans="1:15">
      <c r="A200" s="5" t="s">
        <v>494</v>
      </c>
      <c r="B200" s="26">
        <v>46105</v>
      </c>
      <c r="C200" s="27">
        <v>0.39374999999999999</v>
      </c>
      <c r="D200" s="5" t="s">
        <v>495</v>
      </c>
      <c r="E200" s="6">
        <v>32</v>
      </c>
      <c r="F200" s="6">
        <v>2</v>
      </c>
      <c r="G200" s="6">
        <v>4</v>
      </c>
      <c r="H200" s="6">
        <v>256</v>
      </c>
      <c r="I200" s="7">
        <v>4725</v>
      </c>
      <c r="J200" s="28">
        <v>6.22</v>
      </c>
      <c r="K200" s="19">
        <f t="shared" si="1"/>
        <v>5.4179894179894186</v>
      </c>
      <c r="L200" s="17">
        <v>199</v>
      </c>
      <c r="M200" s="14" t="s">
        <v>167</v>
      </c>
      <c r="N200" s="17">
        <v>0</v>
      </c>
      <c r="O200" s="17"/>
    </row>
    <row r="201" spans="1:15">
      <c r="A201" s="5" t="s">
        <v>496</v>
      </c>
      <c r="B201" s="26">
        <v>46105</v>
      </c>
      <c r="C201" s="27">
        <v>0.54722222222222228</v>
      </c>
      <c r="D201" s="2" t="s">
        <v>82</v>
      </c>
      <c r="E201" s="3">
        <v>18</v>
      </c>
      <c r="F201" s="3">
        <v>0</v>
      </c>
      <c r="G201" s="3">
        <v>0</v>
      </c>
      <c r="H201" s="3">
        <v>587</v>
      </c>
      <c r="I201" s="4">
        <v>1529</v>
      </c>
      <c r="J201" s="28">
        <v>39.57</v>
      </c>
      <c r="K201" s="19">
        <f t="shared" si="1"/>
        <v>38.391105297580118</v>
      </c>
      <c r="L201" s="17">
        <v>200</v>
      </c>
      <c r="M201" s="14" t="s">
        <v>180</v>
      </c>
      <c r="N201" s="17">
        <v>0</v>
      </c>
      <c r="O201" s="17"/>
    </row>
    <row r="202" spans="1:15">
      <c r="A202" s="5" t="s">
        <v>497</v>
      </c>
      <c r="B202" s="26">
        <v>46106</v>
      </c>
      <c r="C202" s="27">
        <v>0.52152777777777781</v>
      </c>
      <c r="D202" s="8" t="s">
        <v>83</v>
      </c>
      <c r="E202" s="6">
        <v>14</v>
      </c>
      <c r="F202" s="6">
        <v>1</v>
      </c>
      <c r="G202" s="6">
        <v>0</v>
      </c>
      <c r="H202" s="6">
        <v>733</v>
      </c>
      <c r="I202" s="7">
        <v>1433</v>
      </c>
      <c r="J202" s="28">
        <v>52.2</v>
      </c>
      <c r="K202" s="19">
        <f t="shared" si="1"/>
        <v>51.151430565247736</v>
      </c>
      <c r="L202" s="17">
        <v>201</v>
      </c>
      <c r="M202" s="14" t="s">
        <v>180</v>
      </c>
      <c r="N202" s="17">
        <v>0</v>
      </c>
      <c r="O202" s="17"/>
    </row>
    <row r="203" spans="1:15">
      <c r="A203" s="5" t="s">
        <v>498</v>
      </c>
      <c r="B203" s="26">
        <v>46107</v>
      </c>
      <c r="C203" s="27">
        <v>0.31458333333333333</v>
      </c>
      <c r="D203" s="2" t="s">
        <v>84</v>
      </c>
      <c r="E203" s="3">
        <v>24</v>
      </c>
      <c r="F203" s="3">
        <v>0</v>
      </c>
      <c r="G203" s="3">
        <v>0</v>
      </c>
      <c r="H203" s="4">
        <v>1145</v>
      </c>
      <c r="I203" s="4">
        <v>2200</v>
      </c>
      <c r="J203" s="28">
        <v>53.14</v>
      </c>
      <c r="K203" s="19">
        <f t="shared" si="1"/>
        <v>52.045454545454547</v>
      </c>
      <c r="L203" s="17">
        <v>202</v>
      </c>
      <c r="M203" s="14" t="s">
        <v>180</v>
      </c>
      <c r="N203" s="17">
        <v>0</v>
      </c>
      <c r="O203" s="17"/>
    </row>
    <row r="204" spans="1:15">
      <c r="A204" s="5" t="s">
        <v>499</v>
      </c>
      <c r="B204" s="26">
        <v>46107</v>
      </c>
      <c r="C204" s="27">
        <v>0.55208333333333337</v>
      </c>
      <c r="D204" s="8" t="s">
        <v>85</v>
      </c>
      <c r="E204" s="6">
        <v>90</v>
      </c>
      <c r="F204" s="6">
        <v>2</v>
      </c>
      <c r="G204" s="6">
        <v>5</v>
      </c>
      <c r="H204" s="6">
        <v>233</v>
      </c>
      <c r="I204" s="7">
        <v>5016</v>
      </c>
      <c r="J204" s="28">
        <v>6.58</v>
      </c>
      <c r="K204" s="19">
        <f t="shared" si="1"/>
        <v>4.6451355661881983</v>
      </c>
      <c r="L204" s="17">
        <v>203</v>
      </c>
      <c r="M204" s="14" t="s">
        <v>167</v>
      </c>
      <c r="N204" s="17">
        <v>0</v>
      </c>
      <c r="O204" s="17"/>
    </row>
    <row r="205" spans="1:15">
      <c r="A205" s="5" t="s">
        <v>500</v>
      </c>
      <c r="B205" s="26">
        <v>46108</v>
      </c>
      <c r="C205" s="27">
        <v>0.43680555555555556</v>
      </c>
      <c r="D205" s="2" t="s">
        <v>86</v>
      </c>
      <c r="E205" s="3">
        <v>42</v>
      </c>
      <c r="F205" s="3">
        <v>0</v>
      </c>
      <c r="G205" s="3">
        <v>4</v>
      </c>
      <c r="H205" s="3">
        <v>77</v>
      </c>
      <c r="I205" s="4">
        <v>2149</v>
      </c>
      <c r="J205" s="28">
        <v>5.72</v>
      </c>
      <c r="K205" s="19">
        <f t="shared" si="1"/>
        <v>3.5830618892508146</v>
      </c>
      <c r="L205" s="17">
        <v>204</v>
      </c>
      <c r="M205" s="14" t="s">
        <v>167</v>
      </c>
      <c r="N205" s="17">
        <v>0</v>
      </c>
      <c r="O205" s="17"/>
    </row>
    <row r="206" spans="1:15">
      <c r="A206" s="5" t="s">
        <v>501</v>
      </c>
      <c r="B206" s="26">
        <v>46109</v>
      </c>
      <c r="C206" s="27">
        <v>0.42986111111111114</v>
      </c>
      <c r="D206" s="8" t="s">
        <v>87</v>
      </c>
      <c r="E206" s="6">
        <v>8</v>
      </c>
      <c r="F206" s="6">
        <v>0</v>
      </c>
      <c r="G206" s="6">
        <v>0</v>
      </c>
      <c r="H206" s="6">
        <v>22</v>
      </c>
      <c r="I206" s="7">
        <v>1155</v>
      </c>
      <c r="J206" s="28">
        <v>2.6</v>
      </c>
      <c r="K206" s="19">
        <f t="shared" si="1"/>
        <v>1.9047619047619049</v>
      </c>
      <c r="L206" s="17">
        <v>205</v>
      </c>
      <c r="M206" s="14" t="s">
        <v>167</v>
      </c>
      <c r="N206" s="17">
        <v>0</v>
      </c>
      <c r="O206" s="17"/>
    </row>
    <row r="207" spans="1:15">
      <c r="A207" s="5" t="s">
        <v>502</v>
      </c>
      <c r="B207" s="26">
        <v>46109</v>
      </c>
      <c r="C207" s="27">
        <v>0.45833333333333331</v>
      </c>
      <c r="D207" s="2" t="s">
        <v>88</v>
      </c>
      <c r="E207" s="3">
        <v>3</v>
      </c>
      <c r="F207" s="3">
        <v>0</v>
      </c>
      <c r="G207" s="3">
        <v>0</v>
      </c>
      <c r="H207" s="3">
        <v>259</v>
      </c>
      <c r="I207" s="4">
        <v>1255</v>
      </c>
      <c r="J207" s="28">
        <v>20.88</v>
      </c>
      <c r="K207" s="19">
        <f t="shared" si="1"/>
        <v>20.637450199203187</v>
      </c>
      <c r="L207" s="17">
        <v>206</v>
      </c>
      <c r="M207" s="14" t="s">
        <v>180</v>
      </c>
      <c r="N207" s="17">
        <v>0</v>
      </c>
      <c r="O207" s="17"/>
    </row>
    <row r="208" spans="1:15">
      <c r="A208" s="5" t="s">
        <v>503</v>
      </c>
      <c r="B208" s="26">
        <v>46109</v>
      </c>
      <c r="C208" s="27">
        <v>0.50972222222222219</v>
      </c>
      <c r="D208" s="8" t="s">
        <v>89</v>
      </c>
      <c r="E208" s="6">
        <v>10</v>
      </c>
      <c r="F208" s="6">
        <v>0</v>
      </c>
      <c r="G208" s="6">
        <v>3</v>
      </c>
      <c r="H208" s="6">
        <v>842</v>
      </c>
      <c r="I208" s="7">
        <v>1445</v>
      </c>
      <c r="J208" s="28">
        <v>59.17</v>
      </c>
      <c r="K208" s="19">
        <f t="shared" si="1"/>
        <v>58.269896193771629</v>
      </c>
      <c r="L208" s="17">
        <v>207</v>
      </c>
      <c r="M208" s="14" t="s">
        <v>180</v>
      </c>
      <c r="N208" s="17">
        <v>0</v>
      </c>
      <c r="O208" s="17"/>
    </row>
    <row r="209" spans="1:15">
      <c r="A209" s="5" t="s">
        <v>504</v>
      </c>
      <c r="B209" s="26">
        <v>46112</v>
      </c>
      <c r="C209" s="27">
        <v>0.31597222222222221</v>
      </c>
      <c r="D209" s="2" t="s">
        <v>90</v>
      </c>
      <c r="E209" s="3">
        <v>41</v>
      </c>
      <c r="F209" s="3">
        <v>0</v>
      </c>
      <c r="G209" s="3">
        <v>4</v>
      </c>
      <c r="H209" s="3">
        <v>69</v>
      </c>
      <c r="I209" s="4">
        <v>2385</v>
      </c>
      <c r="J209" s="28">
        <v>4.78</v>
      </c>
      <c r="K209" s="19">
        <f t="shared" si="1"/>
        <v>2.8930817610062896</v>
      </c>
      <c r="L209" s="17">
        <v>208</v>
      </c>
      <c r="M209" s="14" t="s">
        <v>167</v>
      </c>
      <c r="N209" s="17">
        <v>0</v>
      </c>
      <c r="O209" s="17"/>
    </row>
    <row r="210" spans="1:15">
      <c r="A210" s="5" t="s">
        <v>505</v>
      </c>
      <c r="B210" s="26">
        <v>46113</v>
      </c>
      <c r="C210" s="27">
        <v>0.27847222222222223</v>
      </c>
      <c r="D210" s="8" t="s">
        <v>91</v>
      </c>
      <c r="E210" s="6">
        <v>18</v>
      </c>
      <c r="F210" s="6">
        <v>0</v>
      </c>
      <c r="G210" s="6">
        <v>2</v>
      </c>
      <c r="H210" s="6">
        <v>29</v>
      </c>
      <c r="I210" s="7">
        <v>1162</v>
      </c>
      <c r="J210" s="28">
        <v>4.22</v>
      </c>
      <c r="K210" s="19">
        <f t="shared" si="1"/>
        <v>2.495697074010327</v>
      </c>
      <c r="L210" s="17">
        <v>209</v>
      </c>
      <c r="M210" s="14" t="s">
        <v>167</v>
      </c>
      <c r="N210" s="17">
        <v>0</v>
      </c>
      <c r="O210" s="17"/>
    </row>
    <row r="211" spans="1:15">
      <c r="A211" s="5" t="s">
        <v>506</v>
      </c>
      <c r="B211" s="26">
        <v>46113</v>
      </c>
      <c r="C211" s="27">
        <v>0.55972222222222223</v>
      </c>
      <c r="D211" s="2" t="s">
        <v>92</v>
      </c>
      <c r="E211" s="3">
        <v>21</v>
      </c>
      <c r="F211" s="3">
        <v>2</v>
      </c>
      <c r="G211" s="3">
        <v>3</v>
      </c>
      <c r="H211" s="3">
        <v>880</v>
      </c>
      <c r="I211" s="4">
        <v>1429</v>
      </c>
      <c r="J211" s="28">
        <v>63.4</v>
      </c>
      <c r="K211" s="19">
        <f t="shared" si="1"/>
        <v>61.581525542337303</v>
      </c>
      <c r="L211" s="17">
        <v>210</v>
      </c>
      <c r="M211" s="14" t="s">
        <v>180</v>
      </c>
      <c r="N211" s="17">
        <v>0</v>
      </c>
      <c r="O211" s="17"/>
    </row>
    <row r="212" spans="1:15">
      <c r="A212" s="5" t="s">
        <v>507</v>
      </c>
      <c r="B212" s="26">
        <v>46114</v>
      </c>
      <c r="C212" s="27">
        <v>0.30694444444444446</v>
      </c>
      <c r="D212" s="8" t="s">
        <v>93</v>
      </c>
      <c r="E212" s="6">
        <v>41</v>
      </c>
      <c r="F212" s="6">
        <v>0</v>
      </c>
      <c r="G212" s="6">
        <v>4</v>
      </c>
      <c r="H212" s="6">
        <v>88</v>
      </c>
      <c r="I212" s="7">
        <v>2111</v>
      </c>
      <c r="J212" s="28">
        <v>6.3</v>
      </c>
      <c r="K212" s="19">
        <f t="shared" si="1"/>
        <v>4.1686404547607765</v>
      </c>
      <c r="L212" s="17">
        <v>211</v>
      </c>
      <c r="M212" s="28" t="s">
        <v>178</v>
      </c>
      <c r="N212" s="17">
        <v>0</v>
      </c>
      <c r="O212" s="17"/>
    </row>
    <row r="213" spans="1:15">
      <c r="A213" s="5" t="s">
        <v>508</v>
      </c>
      <c r="B213" s="26">
        <v>46116</v>
      </c>
      <c r="C213" s="27">
        <v>0.55208333333333337</v>
      </c>
      <c r="D213" s="2" t="s">
        <v>95</v>
      </c>
      <c r="E213" s="3">
        <v>10</v>
      </c>
      <c r="F213" s="3">
        <v>0</v>
      </c>
      <c r="G213" s="3">
        <v>1</v>
      </c>
      <c r="H213" s="3">
        <v>789</v>
      </c>
      <c r="I213" s="4">
        <v>1290</v>
      </c>
      <c r="J213" s="28">
        <v>62.02</v>
      </c>
      <c r="K213" s="19">
        <f t="shared" si="1"/>
        <v>61.162790697674417</v>
      </c>
      <c r="L213" s="17">
        <v>212</v>
      </c>
      <c r="M213" s="14" t="s">
        <v>180</v>
      </c>
      <c r="N213" s="17">
        <v>0</v>
      </c>
      <c r="O213" s="17"/>
    </row>
    <row r="214" spans="1:15">
      <c r="A214" s="5" t="s">
        <v>509</v>
      </c>
      <c r="B214" s="26">
        <v>46118</v>
      </c>
      <c r="C214" s="27">
        <v>0.28680555555555554</v>
      </c>
      <c r="D214" s="8" t="s">
        <v>96</v>
      </c>
      <c r="E214" s="6">
        <v>30</v>
      </c>
      <c r="F214" s="6">
        <v>0</v>
      </c>
      <c r="G214" s="6">
        <v>3</v>
      </c>
      <c r="H214" s="6">
        <v>65</v>
      </c>
      <c r="I214" s="7">
        <v>2123</v>
      </c>
      <c r="J214" s="28">
        <v>4.62</v>
      </c>
      <c r="K214" s="19">
        <f t="shared" si="1"/>
        <v>3.0617051342439945</v>
      </c>
      <c r="L214" s="17">
        <v>213</v>
      </c>
      <c r="M214" s="14" t="s">
        <v>167</v>
      </c>
      <c r="N214" s="17">
        <v>0</v>
      </c>
      <c r="O214" s="17"/>
    </row>
    <row r="215" spans="1:15">
      <c r="A215" s="5" t="s">
        <v>510</v>
      </c>
      <c r="B215" s="26">
        <v>46118</v>
      </c>
      <c r="C215" s="27">
        <v>0.48194444444444445</v>
      </c>
      <c r="D215" s="5" t="s">
        <v>511</v>
      </c>
      <c r="E215" s="3">
        <v>16</v>
      </c>
      <c r="F215" s="3">
        <v>0</v>
      </c>
      <c r="G215" s="3">
        <v>4</v>
      </c>
      <c r="H215" s="3">
        <v>66</v>
      </c>
      <c r="I215" s="4">
        <v>1916</v>
      </c>
      <c r="J215" s="28">
        <v>4.49</v>
      </c>
      <c r="K215" s="19">
        <f t="shared" si="1"/>
        <v>3.4446764091858038</v>
      </c>
      <c r="L215" s="17">
        <v>214</v>
      </c>
      <c r="M215" s="14" t="s">
        <v>466</v>
      </c>
      <c r="N215" s="17">
        <v>0</v>
      </c>
      <c r="O215" s="17"/>
    </row>
    <row r="216" spans="1:15">
      <c r="A216" s="5" t="s">
        <v>512</v>
      </c>
      <c r="B216" s="26">
        <v>46118</v>
      </c>
      <c r="C216" s="27">
        <v>0.58333333333333337</v>
      </c>
      <c r="D216" s="8" t="s">
        <v>97</v>
      </c>
      <c r="E216" s="6">
        <v>18</v>
      </c>
      <c r="F216" s="6">
        <v>0</v>
      </c>
      <c r="G216" s="6">
        <v>3</v>
      </c>
      <c r="H216" s="6">
        <v>684</v>
      </c>
      <c r="I216" s="6">
        <v>993</v>
      </c>
      <c r="J216" s="28">
        <v>71</v>
      </c>
      <c r="K216" s="19">
        <f t="shared" si="1"/>
        <v>68.882175226586099</v>
      </c>
      <c r="L216" s="17">
        <v>215</v>
      </c>
      <c r="M216" s="14" t="s">
        <v>180</v>
      </c>
      <c r="N216" s="17">
        <v>0</v>
      </c>
      <c r="O216" s="17"/>
    </row>
    <row r="217" spans="1:15">
      <c r="A217" s="9" t="s">
        <v>513</v>
      </c>
      <c r="B217" s="26">
        <v>46120</v>
      </c>
      <c r="C217" s="27">
        <v>0.59513888888888888</v>
      </c>
      <c r="D217" s="2" t="s">
        <v>98</v>
      </c>
      <c r="E217" s="3">
        <v>39</v>
      </c>
      <c r="F217" s="3">
        <v>0</v>
      </c>
      <c r="G217" s="3">
        <v>5</v>
      </c>
      <c r="H217" s="4">
        <v>1468</v>
      </c>
      <c r="I217" s="4">
        <v>1889</v>
      </c>
      <c r="J217" s="3">
        <v>80.040000000000006</v>
      </c>
      <c r="K217" s="19">
        <f t="shared" si="1"/>
        <v>77.713075701429318</v>
      </c>
      <c r="L217" s="17">
        <v>216</v>
      </c>
      <c r="M217" s="14" t="s">
        <v>180</v>
      </c>
      <c r="N217" s="17">
        <v>0</v>
      </c>
      <c r="O217" s="17"/>
    </row>
    <row r="218" spans="1:15">
      <c r="A218" s="5" t="s">
        <v>514</v>
      </c>
      <c r="B218" s="29">
        <v>46121</v>
      </c>
      <c r="C218" s="30">
        <v>0.49166666666666664</v>
      </c>
      <c r="D218" s="5" t="s">
        <v>515</v>
      </c>
      <c r="E218" s="6">
        <v>13</v>
      </c>
      <c r="F218" s="6">
        <v>0</v>
      </c>
      <c r="G218" s="6">
        <v>1</v>
      </c>
      <c r="H218" s="6">
        <v>52</v>
      </c>
      <c r="I218" s="7">
        <v>1387</v>
      </c>
      <c r="J218" s="6">
        <v>4.76</v>
      </c>
      <c r="K218" s="19">
        <f t="shared" si="1"/>
        <v>3.7490987743330928</v>
      </c>
      <c r="L218" s="17">
        <v>217</v>
      </c>
      <c r="M218" s="28" t="s">
        <v>167</v>
      </c>
      <c r="N218" s="17">
        <v>0</v>
      </c>
      <c r="O218" s="17"/>
    </row>
    <row r="219" spans="1:15">
      <c r="A219" s="5" t="s">
        <v>516</v>
      </c>
      <c r="B219" s="29">
        <v>46122</v>
      </c>
      <c r="C219" s="30">
        <v>0.52361111111111114</v>
      </c>
      <c r="D219" s="5" t="s">
        <v>517</v>
      </c>
      <c r="E219" s="3">
        <v>29</v>
      </c>
      <c r="F219" s="3">
        <v>0</v>
      </c>
      <c r="G219" s="3">
        <v>3</v>
      </c>
      <c r="H219" s="3">
        <v>36</v>
      </c>
      <c r="I219" s="4">
        <v>1606</v>
      </c>
      <c r="J219" s="3">
        <v>4.2300000000000004</v>
      </c>
      <c r="K219" s="19">
        <f t="shared" si="1"/>
        <v>2.2415940224159403</v>
      </c>
      <c r="L219" s="17">
        <v>218</v>
      </c>
      <c r="M219" s="28" t="s">
        <v>167</v>
      </c>
      <c r="N219" s="17">
        <v>0</v>
      </c>
      <c r="O219" s="17"/>
    </row>
    <row r="220" spans="1:15">
      <c r="A220" s="5" t="s">
        <v>518</v>
      </c>
      <c r="B220" s="29">
        <v>46123</v>
      </c>
      <c r="C220" s="30">
        <v>0.27847222222222223</v>
      </c>
      <c r="D220" s="5" t="s">
        <v>519</v>
      </c>
      <c r="E220" s="6">
        <v>29</v>
      </c>
      <c r="F220" s="6">
        <v>0</v>
      </c>
      <c r="G220" s="6">
        <v>4</v>
      </c>
      <c r="H220" s="7">
        <v>2898</v>
      </c>
      <c r="I220" s="7">
        <v>7588</v>
      </c>
      <c r="J220" s="6">
        <v>38.630000000000003</v>
      </c>
      <c r="K220" s="19">
        <f t="shared" si="1"/>
        <v>38.191881918819185</v>
      </c>
      <c r="L220" s="17">
        <v>219</v>
      </c>
      <c r="M220" s="14" t="s">
        <v>180</v>
      </c>
      <c r="N220" s="17">
        <v>0</v>
      </c>
      <c r="O220" s="17"/>
    </row>
    <row r="221" spans="1:15">
      <c r="A221" s="5" t="s">
        <v>520</v>
      </c>
      <c r="B221" s="29">
        <v>46123</v>
      </c>
      <c r="C221" s="30">
        <v>0.32291666666666669</v>
      </c>
      <c r="D221" s="5" t="s">
        <v>521</v>
      </c>
      <c r="E221" s="3">
        <v>17</v>
      </c>
      <c r="F221" s="3">
        <v>0</v>
      </c>
      <c r="G221" s="3">
        <v>3</v>
      </c>
      <c r="H221" s="3">
        <v>32</v>
      </c>
      <c r="I221" s="4">
        <v>1358</v>
      </c>
      <c r="J221" s="3">
        <v>3.83</v>
      </c>
      <c r="K221" s="19">
        <f t="shared" si="1"/>
        <v>2.3564064801178204</v>
      </c>
      <c r="L221" s="17">
        <v>220</v>
      </c>
      <c r="M221" s="28" t="s">
        <v>167</v>
      </c>
      <c r="N221" s="17">
        <v>0</v>
      </c>
      <c r="O221" s="17"/>
    </row>
    <row r="222" spans="1:15">
      <c r="A222" s="5" t="s">
        <v>522</v>
      </c>
      <c r="B222" s="29">
        <v>46123</v>
      </c>
      <c r="C222" s="30">
        <v>0.40555555555555556</v>
      </c>
      <c r="D222" s="8" t="s">
        <v>99</v>
      </c>
      <c r="E222" s="6">
        <v>11</v>
      </c>
      <c r="F222" s="6">
        <v>0</v>
      </c>
      <c r="G222" s="6">
        <v>1</v>
      </c>
      <c r="H222" s="6">
        <v>23</v>
      </c>
      <c r="I222" s="7">
        <v>1421</v>
      </c>
      <c r="J222" s="6">
        <v>2.46</v>
      </c>
      <c r="K222" s="19">
        <f t="shared" si="1"/>
        <v>1.6185784658691063</v>
      </c>
      <c r="L222" s="17">
        <v>221</v>
      </c>
      <c r="M222" s="28" t="s">
        <v>167</v>
      </c>
      <c r="N222" s="17">
        <v>0</v>
      </c>
      <c r="O222" s="17"/>
    </row>
    <row r="223" spans="1:15">
      <c r="A223" s="5" t="s">
        <v>523</v>
      </c>
      <c r="B223" s="29">
        <v>46125</v>
      </c>
      <c r="C223" s="30">
        <v>0.33263888888888887</v>
      </c>
      <c r="D223" s="5" t="s">
        <v>524</v>
      </c>
      <c r="E223" s="3">
        <v>3</v>
      </c>
      <c r="F223" s="3">
        <v>0</v>
      </c>
      <c r="G223" s="3">
        <v>0</v>
      </c>
      <c r="H223" s="3">
        <v>13</v>
      </c>
      <c r="I223" s="3">
        <v>850</v>
      </c>
      <c r="J223" s="3">
        <v>1.88</v>
      </c>
      <c r="K223" s="19">
        <f t="shared" si="1"/>
        <v>1.5294117647058825</v>
      </c>
      <c r="L223" s="17">
        <v>222</v>
      </c>
      <c r="M223" s="28" t="s">
        <v>167</v>
      </c>
      <c r="N223" s="17">
        <v>0</v>
      </c>
      <c r="O223" s="17"/>
    </row>
    <row r="224" spans="1:15">
      <c r="A224" s="5" t="s">
        <v>525</v>
      </c>
      <c r="B224" s="29">
        <v>46125</v>
      </c>
      <c r="C224" s="30">
        <v>0.38680555555555557</v>
      </c>
      <c r="D224" s="8" t="s">
        <v>100</v>
      </c>
      <c r="E224" s="6">
        <v>33</v>
      </c>
      <c r="F224" s="6">
        <v>0</v>
      </c>
      <c r="G224" s="6">
        <v>0</v>
      </c>
      <c r="H224" s="6">
        <v>82</v>
      </c>
      <c r="I224" s="7">
        <v>2012</v>
      </c>
      <c r="J224" s="6">
        <v>5.72</v>
      </c>
      <c r="K224" s="19">
        <f t="shared" si="1"/>
        <v>4.0755467196819088</v>
      </c>
      <c r="L224" s="17">
        <v>223</v>
      </c>
      <c r="M224" s="28" t="s">
        <v>167</v>
      </c>
      <c r="N224" s="17">
        <v>0</v>
      </c>
      <c r="O224" s="17"/>
    </row>
    <row r="225" spans="1:15">
      <c r="A225" s="5" t="s">
        <v>526</v>
      </c>
      <c r="B225" s="29">
        <v>46125</v>
      </c>
      <c r="C225" s="30">
        <v>0.47916666666666669</v>
      </c>
      <c r="D225" s="5" t="s">
        <v>527</v>
      </c>
      <c r="E225" s="3">
        <v>12</v>
      </c>
      <c r="F225" s="3">
        <v>0</v>
      </c>
      <c r="G225" s="3">
        <v>3</v>
      </c>
      <c r="H225" s="3">
        <v>17</v>
      </c>
      <c r="I225" s="3">
        <v>744</v>
      </c>
      <c r="J225" s="3">
        <v>4.3</v>
      </c>
      <c r="K225" s="19">
        <f t="shared" si="1"/>
        <v>2.28494623655914</v>
      </c>
      <c r="L225" s="17">
        <v>224</v>
      </c>
      <c r="M225" s="28" t="s">
        <v>167</v>
      </c>
      <c r="N225" s="17">
        <v>0</v>
      </c>
      <c r="O225" s="17"/>
    </row>
    <row r="226" spans="1:15">
      <c r="A226" s="5" t="s">
        <v>528</v>
      </c>
      <c r="B226" s="29">
        <v>38820</v>
      </c>
      <c r="C226" s="30">
        <v>0.49722222222222223</v>
      </c>
      <c r="D226" s="8" t="s">
        <v>101</v>
      </c>
      <c r="E226" s="6">
        <v>6</v>
      </c>
      <c r="F226" s="6">
        <v>0</v>
      </c>
      <c r="G226" s="6">
        <v>0</v>
      </c>
      <c r="H226" s="6">
        <v>192</v>
      </c>
      <c r="I226" s="6">
        <v>618</v>
      </c>
      <c r="J226" s="6">
        <v>32.04</v>
      </c>
      <c r="K226" s="19">
        <f t="shared" si="1"/>
        <v>31.067961165048541</v>
      </c>
      <c r="L226" s="17">
        <v>225</v>
      </c>
      <c r="M226" s="14" t="s">
        <v>180</v>
      </c>
      <c r="N226" s="17">
        <v>0</v>
      </c>
      <c r="O226" s="17"/>
    </row>
    <row r="227" spans="1:15">
      <c r="A227" s="5" t="s">
        <v>529</v>
      </c>
      <c r="B227" s="29">
        <v>46125</v>
      </c>
      <c r="C227" s="30">
        <v>0.5756944444444444</v>
      </c>
      <c r="D227" s="2" t="s">
        <v>102</v>
      </c>
      <c r="E227" s="3">
        <v>12</v>
      </c>
      <c r="F227" s="3">
        <v>0</v>
      </c>
      <c r="G227" s="3">
        <v>0</v>
      </c>
      <c r="H227" s="3">
        <v>404</v>
      </c>
      <c r="I227" s="4">
        <v>1209</v>
      </c>
      <c r="J227" s="3">
        <v>34.409999999999997</v>
      </c>
      <c r="K227" s="19">
        <f t="shared" si="1"/>
        <v>33.416046319272127</v>
      </c>
      <c r="L227" s="17">
        <v>226</v>
      </c>
      <c r="M227" s="14" t="s">
        <v>180</v>
      </c>
      <c r="N227" s="17">
        <v>0</v>
      </c>
      <c r="O227" s="17"/>
    </row>
    <row r="228" spans="1:15">
      <c r="A228" s="31" t="s">
        <v>530</v>
      </c>
      <c r="B228" s="29">
        <v>46126</v>
      </c>
      <c r="C228" s="30">
        <v>0.28611111111111109</v>
      </c>
      <c r="D228" s="8" t="s">
        <v>103</v>
      </c>
      <c r="E228" s="6">
        <v>13</v>
      </c>
      <c r="F228" s="6">
        <v>0</v>
      </c>
      <c r="G228" s="6">
        <v>0</v>
      </c>
      <c r="H228" s="6">
        <v>393</v>
      </c>
      <c r="I228" s="7">
        <v>1105</v>
      </c>
      <c r="J228" s="6">
        <v>36.74</v>
      </c>
      <c r="K228" s="19">
        <f t="shared" si="1"/>
        <v>35.565610859728508</v>
      </c>
      <c r="L228" s="17">
        <v>227</v>
      </c>
      <c r="M228" s="14" t="s">
        <v>180</v>
      </c>
      <c r="N228" s="17">
        <v>0</v>
      </c>
      <c r="O228" s="17"/>
    </row>
    <row r="229" spans="1:15">
      <c r="A229" s="31" t="s">
        <v>531</v>
      </c>
      <c r="B229" s="29">
        <v>46126</v>
      </c>
      <c r="C229" s="30">
        <v>0.55972222222222223</v>
      </c>
      <c r="D229" s="5" t="s">
        <v>532</v>
      </c>
      <c r="E229" s="3">
        <v>17</v>
      </c>
      <c r="F229" s="3">
        <v>0</v>
      </c>
      <c r="G229" s="3">
        <v>3</v>
      </c>
      <c r="H229" s="3">
        <v>30</v>
      </c>
      <c r="I229" s="4">
        <v>1245</v>
      </c>
      <c r="J229" s="3">
        <v>4.0199999999999996</v>
      </c>
      <c r="K229" s="19">
        <f t="shared" si="1"/>
        <v>2.4096385542168677</v>
      </c>
      <c r="L229" s="17">
        <v>228</v>
      </c>
      <c r="M229" s="28" t="s">
        <v>167</v>
      </c>
      <c r="N229" s="17">
        <v>0</v>
      </c>
      <c r="O229" s="17"/>
    </row>
    <row r="230" spans="1:15">
      <c r="A230" s="31" t="s">
        <v>533</v>
      </c>
      <c r="B230" s="29">
        <v>46127</v>
      </c>
      <c r="C230" s="30">
        <v>0.25486111111111109</v>
      </c>
      <c r="D230" s="5" t="s">
        <v>534</v>
      </c>
      <c r="E230" s="6">
        <v>7</v>
      </c>
      <c r="F230" s="6">
        <v>0</v>
      </c>
      <c r="G230" s="6">
        <v>1</v>
      </c>
      <c r="H230" s="6">
        <v>11</v>
      </c>
      <c r="I230" s="6">
        <v>610</v>
      </c>
      <c r="J230" s="6">
        <v>3.11</v>
      </c>
      <c r="K230" s="19">
        <f t="shared" si="1"/>
        <v>1.8032786885245904</v>
      </c>
      <c r="L230" s="17">
        <v>229</v>
      </c>
      <c r="M230" s="28" t="s">
        <v>167</v>
      </c>
      <c r="N230" s="17">
        <v>0</v>
      </c>
      <c r="O230" s="17"/>
    </row>
    <row r="231" spans="1:15">
      <c r="A231" s="31" t="s">
        <v>535</v>
      </c>
      <c r="B231" s="29">
        <v>46127</v>
      </c>
      <c r="C231" s="30">
        <v>0.39791666666666664</v>
      </c>
      <c r="D231" s="2" t="s">
        <v>104</v>
      </c>
      <c r="E231" s="3">
        <v>17</v>
      </c>
      <c r="F231" s="3">
        <v>0</v>
      </c>
      <c r="G231" s="3">
        <v>0</v>
      </c>
      <c r="H231" s="3">
        <v>29</v>
      </c>
      <c r="I231" s="3">
        <v>767</v>
      </c>
      <c r="J231" s="3">
        <v>6</v>
      </c>
      <c r="K231" s="19">
        <f t="shared" si="1"/>
        <v>3.7809647979139509</v>
      </c>
      <c r="L231" s="17">
        <v>230</v>
      </c>
      <c r="M231" s="28" t="s">
        <v>167</v>
      </c>
      <c r="N231" s="17">
        <v>0</v>
      </c>
      <c r="O231" s="17"/>
    </row>
    <row r="232" spans="1:15">
      <c r="A232" s="31" t="s">
        <v>536</v>
      </c>
      <c r="B232" s="29">
        <v>46127</v>
      </c>
      <c r="C232" s="30">
        <v>0.52500000000000002</v>
      </c>
      <c r="D232" s="8" t="s">
        <v>105</v>
      </c>
      <c r="E232" s="6">
        <v>28</v>
      </c>
      <c r="F232" s="6">
        <v>0</v>
      </c>
      <c r="G232" s="6">
        <v>3</v>
      </c>
      <c r="H232" s="6">
        <v>446</v>
      </c>
      <c r="I232" s="6">
        <v>947</v>
      </c>
      <c r="J232" s="6">
        <v>50.37</v>
      </c>
      <c r="K232" s="19">
        <f t="shared" si="1"/>
        <v>47.096092925026397</v>
      </c>
      <c r="L232" s="17">
        <v>231</v>
      </c>
      <c r="M232" s="14" t="s">
        <v>180</v>
      </c>
      <c r="N232" s="17">
        <v>0</v>
      </c>
      <c r="O232" s="17"/>
    </row>
    <row r="233" spans="1:15">
      <c r="A233" s="31" t="s">
        <v>537</v>
      </c>
      <c r="B233" s="29">
        <v>46128</v>
      </c>
      <c r="C233" s="30">
        <v>0.26319444444444445</v>
      </c>
      <c r="D233" s="2" t="s">
        <v>106</v>
      </c>
      <c r="E233" s="3">
        <v>18</v>
      </c>
      <c r="F233" s="3">
        <v>0</v>
      </c>
      <c r="G233" s="3">
        <v>0</v>
      </c>
      <c r="H233" s="3">
        <v>9</v>
      </c>
      <c r="I233" s="3">
        <v>372</v>
      </c>
      <c r="J233" s="3">
        <v>7.26</v>
      </c>
      <c r="K233" s="19">
        <f t="shared" si="1"/>
        <v>2.4193548387096775</v>
      </c>
      <c r="L233" s="17">
        <v>232</v>
      </c>
      <c r="M233" s="28" t="s">
        <v>167</v>
      </c>
      <c r="N233" s="17">
        <v>0</v>
      </c>
      <c r="O233" s="17"/>
    </row>
    <row r="234" spans="1:15">
      <c r="A234" s="31" t="s">
        <v>538</v>
      </c>
      <c r="B234" s="29">
        <v>46128</v>
      </c>
      <c r="C234" s="30">
        <v>0.30208333333333331</v>
      </c>
      <c r="D234" s="5" t="s">
        <v>539</v>
      </c>
      <c r="E234" s="6">
        <v>6</v>
      </c>
      <c r="F234" s="6">
        <v>0</v>
      </c>
      <c r="G234" s="6">
        <v>1</v>
      </c>
      <c r="H234" s="6">
        <v>16</v>
      </c>
      <c r="I234" s="6">
        <v>393</v>
      </c>
      <c r="J234" s="6">
        <v>5.85</v>
      </c>
      <c r="K234" s="19">
        <f t="shared" si="1"/>
        <v>4.0712468193384224</v>
      </c>
      <c r="L234" s="17">
        <v>233</v>
      </c>
      <c r="M234" s="28" t="s">
        <v>167</v>
      </c>
      <c r="N234" s="17">
        <v>0</v>
      </c>
      <c r="O234" s="17"/>
    </row>
    <row r="235" spans="1:15">
      <c r="A235" s="31" t="s">
        <v>540</v>
      </c>
      <c r="B235" s="29">
        <v>46128</v>
      </c>
      <c r="C235" s="30">
        <v>0.58680555555555558</v>
      </c>
      <c r="D235" s="2" t="s">
        <v>107</v>
      </c>
      <c r="E235" s="3">
        <v>3</v>
      </c>
      <c r="F235" s="3">
        <v>0</v>
      </c>
      <c r="G235" s="3">
        <v>0</v>
      </c>
      <c r="H235" s="3">
        <v>439</v>
      </c>
      <c r="I235" s="3">
        <v>565</v>
      </c>
      <c r="J235" s="3">
        <v>78.23</v>
      </c>
      <c r="K235" s="19">
        <f t="shared" si="1"/>
        <v>77.69911504424779</v>
      </c>
      <c r="L235" s="17">
        <v>234</v>
      </c>
      <c r="M235" s="28" t="s">
        <v>180</v>
      </c>
      <c r="N235" s="17">
        <v>0</v>
      </c>
      <c r="O235" s="17"/>
    </row>
    <row r="236" spans="1:15">
      <c r="A236" s="31" t="s">
        <v>541</v>
      </c>
      <c r="B236" s="29">
        <v>46129</v>
      </c>
      <c r="C236" s="30">
        <v>0.37291666666666667</v>
      </c>
      <c r="D236" s="8" t="s">
        <v>108</v>
      </c>
      <c r="E236" s="6">
        <v>2</v>
      </c>
      <c r="F236" s="6">
        <v>0</v>
      </c>
      <c r="G236" s="6">
        <v>0</v>
      </c>
      <c r="H236" s="6">
        <v>207</v>
      </c>
      <c r="I236" s="6">
        <v>311</v>
      </c>
      <c r="J236" s="6">
        <v>67.2</v>
      </c>
      <c r="K236" s="19">
        <f t="shared" si="1"/>
        <v>66.559485530546624</v>
      </c>
      <c r="L236" s="17">
        <v>235</v>
      </c>
      <c r="M236" s="28" t="s">
        <v>180</v>
      </c>
      <c r="N236" s="17">
        <v>0</v>
      </c>
      <c r="O236" s="17"/>
    </row>
    <row r="237" spans="1:15">
      <c r="A237" s="31" t="s">
        <v>542</v>
      </c>
      <c r="B237" s="29">
        <v>46129</v>
      </c>
      <c r="C237" s="30">
        <v>0.3923611111111111</v>
      </c>
      <c r="D237" s="2" t="s">
        <v>109</v>
      </c>
      <c r="E237" s="3">
        <v>3</v>
      </c>
      <c r="F237" s="3">
        <v>0</v>
      </c>
      <c r="G237" s="3">
        <v>0</v>
      </c>
      <c r="H237" s="3">
        <v>5</v>
      </c>
      <c r="I237" s="3">
        <v>502</v>
      </c>
      <c r="J237" s="3">
        <v>1.59</v>
      </c>
      <c r="K237" s="19">
        <f t="shared" si="1"/>
        <v>0.99601593625498008</v>
      </c>
      <c r="L237" s="17">
        <v>236</v>
      </c>
      <c r="M237" s="28" t="s">
        <v>167</v>
      </c>
      <c r="N237" s="17">
        <v>0</v>
      </c>
      <c r="O237" s="17"/>
    </row>
    <row r="238" spans="1:15">
      <c r="A238" s="5" t="s">
        <v>543</v>
      </c>
      <c r="B238" s="29">
        <v>46129</v>
      </c>
      <c r="C238" s="30">
        <v>0.47916666666666669</v>
      </c>
      <c r="D238" s="5" t="s">
        <v>544</v>
      </c>
      <c r="E238" s="6">
        <v>1</v>
      </c>
      <c r="F238" s="6">
        <v>0</v>
      </c>
      <c r="G238" s="6">
        <v>1</v>
      </c>
      <c r="H238" s="6">
        <v>0</v>
      </c>
      <c r="I238" s="6">
        <v>120</v>
      </c>
      <c r="J238" s="6">
        <v>1.67</v>
      </c>
      <c r="K238" s="19">
        <f t="shared" si="1"/>
        <v>0</v>
      </c>
      <c r="L238" s="17">
        <v>237</v>
      </c>
      <c r="M238" s="28" t="s">
        <v>167</v>
      </c>
      <c r="N238" s="17">
        <v>0</v>
      </c>
      <c r="O238" s="17"/>
    </row>
    <row r="239" spans="1:15">
      <c r="A239" s="14"/>
      <c r="B239" s="15"/>
      <c r="C239" s="16"/>
      <c r="D239" s="14"/>
      <c r="E239" s="17"/>
      <c r="F239" s="17"/>
      <c r="G239" s="17"/>
      <c r="H239" s="17"/>
      <c r="I239" s="17"/>
      <c r="J239" s="18"/>
      <c r="K239" s="19"/>
      <c r="L239" s="17"/>
      <c r="M239" s="14"/>
      <c r="N239" s="17"/>
      <c r="O239" s="17"/>
    </row>
    <row r="240" spans="1:15">
      <c r="A240" s="14"/>
      <c r="B240" s="15"/>
      <c r="C240" s="16"/>
      <c r="D240" s="14"/>
      <c r="E240" s="17"/>
      <c r="F240" s="17"/>
      <c r="G240" s="17"/>
      <c r="H240" s="17"/>
      <c r="I240" s="17"/>
      <c r="J240" s="18"/>
      <c r="K240" s="19"/>
      <c r="L240" s="17"/>
      <c r="M240" s="14"/>
      <c r="N240" s="17"/>
      <c r="O240" s="17"/>
    </row>
    <row r="241" spans="1:15">
      <c r="A241" s="14"/>
      <c r="B241" s="15"/>
      <c r="C241" s="16"/>
      <c r="D241" s="14"/>
      <c r="E241" s="17"/>
      <c r="F241" s="17"/>
      <c r="G241" s="17"/>
      <c r="H241" s="17"/>
      <c r="I241" s="17"/>
      <c r="J241" s="18"/>
      <c r="K241" s="19"/>
      <c r="L241" s="17"/>
      <c r="M241" s="14"/>
      <c r="N241" s="17"/>
      <c r="O241" s="17"/>
    </row>
    <row r="242" spans="1:15">
      <c r="A242" s="14"/>
      <c r="B242" s="15"/>
      <c r="C242" s="16"/>
      <c r="D242" s="14"/>
      <c r="E242" s="17"/>
      <c r="F242" s="17"/>
      <c r="G242" s="17"/>
      <c r="H242" s="17"/>
      <c r="I242" s="17"/>
      <c r="J242" s="18"/>
      <c r="K242" s="19"/>
      <c r="L242" s="17"/>
      <c r="M242" s="14"/>
      <c r="N242" s="17"/>
      <c r="O242" s="17"/>
    </row>
    <row r="243" spans="1:15">
      <c r="A243" s="14"/>
      <c r="B243" s="15"/>
      <c r="C243" s="16"/>
      <c r="D243" s="14"/>
      <c r="E243" s="17"/>
      <c r="F243" s="17"/>
      <c r="G243" s="17"/>
      <c r="H243" s="17"/>
      <c r="I243" s="17"/>
      <c r="J243" s="18"/>
      <c r="K243" s="19"/>
      <c r="L243" s="17"/>
      <c r="M243" s="14"/>
      <c r="N243" s="17"/>
      <c r="O243" s="17"/>
    </row>
    <row r="244" spans="1:15">
      <c r="A244" s="14"/>
      <c r="B244" s="15"/>
      <c r="C244" s="16"/>
      <c r="D244" s="14"/>
      <c r="E244" s="17"/>
      <c r="F244" s="17"/>
      <c r="G244" s="17"/>
      <c r="H244" s="17"/>
      <c r="I244" s="17"/>
      <c r="J244" s="18"/>
      <c r="K244" s="19"/>
      <c r="L244" s="17"/>
      <c r="M244" s="14"/>
      <c r="N244" s="17"/>
      <c r="O244" s="17"/>
    </row>
    <row r="245" spans="1:15">
      <c r="A245" s="14"/>
      <c r="B245" s="15"/>
      <c r="C245" s="16"/>
      <c r="D245" s="14"/>
      <c r="E245" s="17"/>
      <c r="F245" s="17"/>
      <c r="G245" s="17"/>
      <c r="H245" s="17"/>
      <c r="I245" s="17"/>
      <c r="J245" s="18"/>
      <c r="K245" s="19"/>
      <c r="L245" s="17"/>
      <c r="M245" s="14"/>
      <c r="N245" s="17"/>
      <c r="O245" s="17"/>
    </row>
    <row r="246" spans="1:15">
      <c r="A246" s="14"/>
      <c r="B246" s="15"/>
      <c r="C246" s="16"/>
      <c r="D246" s="14"/>
      <c r="E246" s="17"/>
      <c r="F246" s="17"/>
      <c r="G246" s="17"/>
      <c r="H246" s="17"/>
      <c r="I246" s="17"/>
      <c r="J246" s="18"/>
      <c r="K246" s="19"/>
      <c r="L246" s="17"/>
      <c r="M246" s="14"/>
      <c r="N246" s="17"/>
      <c r="O246" s="17"/>
    </row>
    <row r="247" spans="1:15">
      <c r="A247" s="14"/>
      <c r="B247" s="15"/>
      <c r="C247" s="16"/>
      <c r="D247" s="14"/>
      <c r="E247" s="17"/>
      <c r="F247" s="17"/>
      <c r="G247" s="17"/>
      <c r="H247" s="17"/>
      <c r="I247" s="17"/>
      <c r="J247" s="18"/>
      <c r="K247" s="19"/>
      <c r="L247" s="17"/>
      <c r="M247" s="14"/>
      <c r="N247" s="17"/>
      <c r="O247" s="17"/>
    </row>
    <row r="248" spans="1:15">
      <c r="A248" s="14"/>
      <c r="B248" s="15"/>
      <c r="C248" s="16"/>
      <c r="D248" s="14"/>
      <c r="E248" s="17"/>
      <c r="F248" s="17"/>
      <c r="G248" s="17"/>
      <c r="H248" s="17"/>
      <c r="I248" s="17"/>
      <c r="J248" s="18"/>
      <c r="K248" s="19"/>
      <c r="L248" s="17"/>
      <c r="M248" s="14"/>
      <c r="N248" s="17"/>
      <c r="O248" s="17"/>
    </row>
    <row r="249" spans="1:15">
      <c r="A249" s="14"/>
      <c r="B249" s="15"/>
      <c r="C249" s="16"/>
      <c r="D249" s="14"/>
      <c r="E249" s="17"/>
      <c r="F249" s="17"/>
      <c r="G249" s="17"/>
      <c r="H249" s="17"/>
      <c r="I249" s="17"/>
      <c r="J249" s="18"/>
      <c r="K249" s="19"/>
      <c r="L249" s="17"/>
      <c r="M249" s="14"/>
      <c r="N249" s="17"/>
      <c r="O249" s="17"/>
    </row>
    <row r="250" spans="1:15">
      <c r="A250" s="14"/>
      <c r="B250" s="15"/>
      <c r="C250" s="16"/>
      <c r="D250" s="14"/>
      <c r="E250" s="17"/>
      <c r="F250" s="17"/>
      <c r="G250" s="17"/>
      <c r="H250" s="17"/>
      <c r="I250" s="17"/>
      <c r="J250" s="18"/>
      <c r="K250" s="19"/>
      <c r="L250" s="17"/>
      <c r="M250" s="14"/>
      <c r="N250" s="17"/>
      <c r="O250" s="17"/>
    </row>
    <row r="251" spans="1:15">
      <c r="A251" s="14"/>
      <c r="B251" s="15"/>
      <c r="C251" s="16"/>
      <c r="D251" s="14"/>
      <c r="E251" s="17"/>
      <c r="F251" s="17"/>
      <c r="G251" s="17"/>
      <c r="H251" s="17"/>
      <c r="I251" s="17"/>
      <c r="J251" s="18"/>
      <c r="K251" s="19"/>
      <c r="L251" s="17"/>
      <c r="M251" s="14"/>
      <c r="N251" s="17"/>
      <c r="O251" s="17"/>
    </row>
    <row r="252" spans="1:15">
      <c r="A252" s="14"/>
      <c r="B252" s="15"/>
      <c r="C252" s="16"/>
      <c r="D252" s="14"/>
      <c r="E252" s="17"/>
      <c r="F252" s="17"/>
      <c r="G252" s="17"/>
      <c r="H252" s="17"/>
      <c r="I252" s="17"/>
      <c r="J252" s="18"/>
      <c r="K252" s="19"/>
      <c r="L252" s="17"/>
      <c r="M252" s="14"/>
      <c r="N252" s="17"/>
      <c r="O252" s="17"/>
    </row>
    <row r="253" spans="1:15">
      <c r="A253" s="14"/>
      <c r="B253" s="15"/>
      <c r="C253" s="16"/>
      <c r="D253" s="14"/>
      <c r="E253" s="17"/>
      <c r="F253" s="17"/>
      <c r="G253" s="17"/>
      <c r="H253" s="17"/>
      <c r="I253" s="17"/>
      <c r="J253" s="18"/>
      <c r="K253" s="19"/>
      <c r="L253" s="17"/>
      <c r="M253" s="14"/>
      <c r="N253" s="17"/>
      <c r="O253" s="17"/>
    </row>
    <row r="254" spans="1:15">
      <c r="A254" s="14"/>
      <c r="B254" s="15"/>
      <c r="C254" s="16"/>
      <c r="D254" s="14"/>
      <c r="E254" s="17"/>
      <c r="F254" s="17"/>
      <c r="G254" s="17"/>
      <c r="H254" s="17"/>
      <c r="I254" s="17"/>
      <c r="J254" s="18"/>
      <c r="K254" s="19"/>
      <c r="L254" s="17"/>
      <c r="M254" s="14"/>
      <c r="N254" s="17"/>
      <c r="O254" s="17"/>
    </row>
    <row r="255" spans="1:15">
      <c r="A255" s="14"/>
      <c r="B255" s="15"/>
      <c r="C255" s="16"/>
      <c r="D255" s="14"/>
      <c r="E255" s="17"/>
      <c r="F255" s="17"/>
      <c r="G255" s="17"/>
      <c r="H255" s="17"/>
      <c r="I255" s="17"/>
      <c r="J255" s="18"/>
      <c r="K255" s="19"/>
      <c r="L255" s="17"/>
      <c r="M255" s="14"/>
      <c r="N255" s="17"/>
      <c r="O255" s="17"/>
    </row>
    <row r="256" spans="1:15">
      <c r="A256" s="14"/>
      <c r="B256" s="15"/>
      <c r="C256" s="16"/>
      <c r="D256" s="14"/>
      <c r="E256" s="17"/>
      <c r="F256" s="17"/>
      <c r="G256" s="17"/>
      <c r="H256" s="17"/>
      <c r="I256" s="17"/>
      <c r="J256" s="18"/>
      <c r="K256" s="19"/>
      <c r="L256" s="17"/>
      <c r="M256" s="14"/>
      <c r="N256" s="17"/>
      <c r="O256" s="17"/>
    </row>
    <row r="257" spans="1:15">
      <c r="A257" s="14"/>
      <c r="B257" s="15"/>
      <c r="C257" s="16"/>
      <c r="D257" s="14"/>
      <c r="E257" s="17"/>
      <c r="F257" s="17"/>
      <c r="G257" s="17"/>
      <c r="H257" s="17"/>
      <c r="I257" s="17"/>
      <c r="J257" s="18"/>
      <c r="K257" s="19"/>
      <c r="L257" s="17"/>
      <c r="M257" s="14"/>
      <c r="N257" s="17"/>
      <c r="O257" s="17"/>
    </row>
    <row r="258" spans="1:15">
      <c r="A258" s="14"/>
      <c r="B258" s="15"/>
      <c r="C258" s="16"/>
      <c r="D258" s="14"/>
      <c r="E258" s="17"/>
      <c r="F258" s="17"/>
      <c r="G258" s="17"/>
      <c r="H258" s="17"/>
      <c r="I258" s="17"/>
      <c r="J258" s="18"/>
      <c r="K258" s="19"/>
      <c r="L258" s="17"/>
      <c r="M258" s="14"/>
      <c r="N258" s="17"/>
      <c r="O258" s="17"/>
    </row>
    <row r="259" spans="1:15">
      <c r="A259" s="14"/>
      <c r="B259" s="15"/>
      <c r="C259" s="16"/>
      <c r="D259" s="14"/>
      <c r="E259" s="17"/>
      <c r="F259" s="17"/>
      <c r="G259" s="17"/>
      <c r="H259" s="17"/>
      <c r="I259" s="17"/>
      <c r="J259" s="18"/>
      <c r="K259" s="19"/>
      <c r="L259" s="17"/>
      <c r="M259" s="14"/>
      <c r="N259" s="17"/>
      <c r="O259" s="17"/>
    </row>
    <row r="260" spans="1:15">
      <c r="A260" s="14"/>
      <c r="B260" s="15"/>
      <c r="C260" s="16"/>
      <c r="D260" s="14"/>
      <c r="E260" s="17"/>
      <c r="F260" s="17"/>
      <c r="G260" s="17"/>
      <c r="H260" s="17"/>
      <c r="I260" s="17"/>
      <c r="J260" s="18"/>
      <c r="K260" s="19"/>
      <c r="L260" s="17"/>
      <c r="M260" s="14"/>
      <c r="N260" s="17"/>
      <c r="O260" s="17"/>
    </row>
    <row r="261" spans="1:15">
      <c r="A261" s="14"/>
      <c r="B261" s="15"/>
      <c r="C261" s="16"/>
      <c r="D261" s="14"/>
      <c r="E261" s="17"/>
      <c r="F261" s="17"/>
      <c r="G261" s="17"/>
      <c r="H261" s="17"/>
      <c r="I261" s="17"/>
      <c r="J261" s="18"/>
      <c r="K261" s="19"/>
      <c r="L261" s="17"/>
      <c r="M261" s="14"/>
      <c r="N261" s="17"/>
      <c r="O261" s="17"/>
    </row>
    <row r="262" spans="1:15">
      <c r="A262" s="14"/>
      <c r="B262" s="15"/>
      <c r="C262" s="16"/>
      <c r="D262" s="14"/>
      <c r="E262" s="17"/>
      <c r="F262" s="17"/>
      <c r="G262" s="17"/>
      <c r="H262" s="17"/>
      <c r="I262" s="17"/>
      <c r="J262" s="18"/>
      <c r="K262" s="19"/>
      <c r="L262" s="17"/>
      <c r="M262" s="14"/>
      <c r="N262" s="17"/>
      <c r="O262" s="17"/>
    </row>
    <row r="263" spans="1:15">
      <c r="A263" s="14"/>
      <c r="B263" s="15"/>
      <c r="C263" s="16"/>
      <c r="D263" s="14"/>
      <c r="E263" s="17"/>
      <c r="F263" s="17"/>
      <c r="G263" s="17"/>
      <c r="H263" s="17"/>
      <c r="I263" s="17"/>
      <c r="J263" s="18"/>
      <c r="K263" s="19"/>
      <c r="L263" s="17"/>
      <c r="M263" s="14"/>
      <c r="N263" s="17"/>
      <c r="O263" s="17"/>
    </row>
    <row r="264" spans="1:15">
      <c r="A264" s="14"/>
      <c r="B264" s="15"/>
      <c r="C264" s="16"/>
      <c r="D264" s="14"/>
      <c r="E264" s="17"/>
      <c r="F264" s="17"/>
      <c r="G264" s="17"/>
      <c r="H264" s="17"/>
      <c r="I264" s="17"/>
      <c r="J264" s="18"/>
      <c r="K264" s="19"/>
      <c r="L264" s="17"/>
      <c r="M264" s="14"/>
      <c r="N264" s="17"/>
      <c r="O264" s="17"/>
    </row>
    <row r="265" spans="1:15">
      <c r="A265" s="14"/>
      <c r="B265" s="15"/>
      <c r="C265" s="16"/>
      <c r="D265" s="14"/>
      <c r="E265" s="17"/>
      <c r="F265" s="17"/>
      <c r="G265" s="17"/>
      <c r="H265" s="17"/>
      <c r="I265" s="17"/>
      <c r="J265" s="18"/>
      <c r="K265" s="19"/>
      <c r="L265" s="17"/>
      <c r="M265" s="14"/>
      <c r="N265" s="17"/>
      <c r="O265" s="17"/>
    </row>
    <row r="266" spans="1:15">
      <c r="A266" s="14"/>
      <c r="B266" s="15"/>
      <c r="C266" s="16"/>
      <c r="D266" s="14"/>
      <c r="E266" s="17"/>
      <c r="F266" s="17"/>
      <c r="G266" s="17"/>
      <c r="H266" s="17"/>
      <c r="I266" s="17"/>
      <c r="J266" s="18"/>
      <c r="K266" s="19"/>
      <c r="L266" s="17"/>
      <c r="M266" s="14"/>
      <c r="N266" s="17"/>
      <c r="O266" s="17"/>
    </row>
    <row r="267" spans="1:15">
      <c r="A267" s="14"/>
      <c r="B267" s="15"/>
      <c r="C267" s="16"/>
      <c r="D267" s="14"/>
      <c r="E267" s="17"/>
      <c r="F267" s="17"/>
      <c r="G267" s="17"/>
      <c r="H267" s="17"/>
      <c r="I267" s="17"/>
      <c r="J267" s="18"/>
      <c r="K267" s="19"/>
      <c r="L267" s="17"/>
      <c r="M267" s="14"/>
      <c r="N267" s="17"/>
      <c r="O267" s="17"/>
    </row>
    <row r="268" spans="1:15">
      <c r="A268" s="14"/>
      <c r="B268" s="15"/>
      <c r="C268" s="16"/>
      <c r="D268" s="14"/>
      <c r="E268" s="17"/>
      <c r="F268" s="17"/>
      <c r="G268" s="17"/>
      <c r="H268" s="17"/>
      <c r="I268" s="17"/>
      <c r="J268" s="18"/>
      <c r="K268" s="19"/>
      <c r="L268" s="17"/>
      <c r="M268" s="14"/>
      <c r="N268" s="17"/>
      <c r="O268" s="17"/>
    </row>
    <row r="269" spans="1:15">
      <c r="A269" s="14"/>
      <c r="B269" s="15"/>
      <c r="C269" s="16"/>
      <c r="D269" s="14"/>
      <c r="E269" s="17"/>
      <c r="F269" s="17"/>
      <c r="G269" s="17"/>
      <c r="H269" s="17"/>
      <c r="I269" s="17"/>
      <c r="J269" s="18"/>
      <c r="K269" s="19"/>
      <c r="L269" s="17"/>
      <c r="M269" s="14"/>
      <c r="N269" s="17"/>
      <c r="O269" s="17"/>
    </row>
    <row r="270" spans="1:15">
      <c r="A270" s="14"/>
      <c r="B270" s="15"/>
      <c r="C270" s="16"/>
      <c r="D270" s="14"/>
      <c r="E270" s="17"/>
      <c r="F270" s="17"/>
      <c r="G270" s="17"/>
      <c r="H270" s="17"/>
      <c r="I270" s="17"/>
      <c r="J270" s="18"/>
      <c r="K270" s="19"/>
      <c r="L270" s="17"/>
      <c r="M270" s="14"/>
      <c r="N270" s="17"/>
      <c r="O270" s="17"/>
    </row>
    <row r="271" spans="1:15">
      <c r="A271" s="14"/>
      <c r="B271" s="15"/>
      <c r="C271" s="16"/>
      <c r="D271" s="14"/>
      <c r="E271" s="17"/>
      <c r="F271" s="17"/>
      <c r="G271" s="17"/>
      <c r="H271" s="17"/>
      <c r="I271" s="17"/>
      <c r="J271" s="18"/>
      <c r="K271" s="19"/>
      <c r="L271" s="17"/>
      <c r="M271" s="14"/>
      <c r="N271" s="17"/>
      <c r="O271" s="17"/>
    </row>
    <row r="272" spans="1:15">
      <c r="A272" s="14"/>
      <c r="B272" s="15"/>
      <c r="C272" s="16"/>
      <c r="D272" s="14"/>
      <c r="E272" s="17"/>
      <c r="F272" s="17"/>
      <c r="G272" s="17"/>
      <c r="H272" s="17"/>
      <c r="I272" s="17"/>
      <c r="J272" s="18"/>
      <c r="K272" s="19"/>
      <c r="L272" s="17"/>
      <c r="M272" s="14"/>
      <c r="N272" s="17"/>
      <c r="O272" s="17"/>
    </row>
    <row r="273" spans="1:15">
      <c r="A273" s="14"/>
      <c r="B273" s="15"/>
      <c r="C273" s="16"/>
      <c r="D273" s="14"/>
      <c r="E273" s="17"/>
      <c r="F273" s="17"/>
      <c r="G273" s="17"/>
      <c r="H273" s="17"/>
      <c r="I273" s="17"/>
      <c r="J273" s="18"/>
      <c r="K273" s="19"/>
      <c r="L273" s="17"/>
      <c r="M273" s="14"/>
      <c r="N273" s="17"/>
      <c r="O273" s="17"/>
    </row>
    <row r="274" spans="1:15">
      <c r="A274" s="14"/>
      <c r="B274" s="15"/>
      <c r="C274" s="16"/>
      <c r="D274" s="14"/>
      <c r="E274" s="17"/>
      <c r="F274" s="17"/>
      <c r="G274" s="17"/>
      <c r="H274" s="17"/>
      <c r="I274" s="17"/>
      <c r="J274" s="18"/>
      <c r="K274" s="19"/>
      <c r="L274" s="17"/>
      <c r="M274" s="14"/>
      <c r="N274" s="17"/>
      <c r="O274" s="17"/>
    </row>
    <row r="275" spans="1:15">
      <c r="A275" s="14"/>
      <c r="B275" s="15"/>
      <c r="C275" s="16"/>
      <c r="D275" s="14"/>
      <c r="E275" s="17"/>
      <c r="F275" s="17"/>
      <c r="G275" s="17"/>
      <c r="H275" s="17"/>
      <c r="I275" s="17"/>
      <c r="J275" s="18"/>
      <c r="K275" s="19"/>
      <c r="L275" s="17"/>
      <c r="M275" s="14"/>
      <c r="N275" s="17"/>
      <c r="O275" s="17"/>
    </row>
    <row r="276" spans="1:15">
      <c r="A276" s="14"/>
      <c r="B276" s="15"/>
      <c r="C276" s="16"/>
      <c r="D276" s="14"/>
      <c r="E276" s="17"/>
      <c r="F276" s="17"/>
      <c r="G276" s="17"/>
      <c r="H276" s="17"/>
      <c r="I276" s="17"/>
      <c r="J276" s="18"/>
      <c r="K276" s="19"/>
      <c r="L276" s="17"/>
      <c r="M276" s="14"/>
      <c r="N276" s="17"/>
      <c r="O276" s="17"/>
    </row>
    <row r="277" spans="1:15">
      <c r="A277" s="14"/>
      <c r="B277" s="15"/>
      <c r="C277" s="16"/>
      <c r="D277" s="14"/>
      <c r="E277" s="17"/>
      <c r="F277" s="17"/>
      <c r="G277" s="17"/>
      <c r="H277" s="17"/>
      <c r="I277" s="17"/>
      <c r="J277" s="18"/>
      <c r="K277" s="19"/>
      <c r="L277" s="17"/>
      <c r="M277" s="14"/>
      <c r="N277" s="17"/>
      <c r="O277" s="17"/>
    </row>
    <row r="278" spans="1:15">
      <c r="A278" s="14"/>
      <c r="B278" s="15"/>
      <c r="C278" s="16"/>
      <c r="D278" s="14"/>
      <c r="E278" s="17"/>
      <c r="F278" s="17"/>
      <c r="G278" s="17"/>
      <c r="H278" s="17"/>
      <c r="I278" s="17"/>
      <c r="J278" s="18"/>
      <c r="K278" s="19"/>
      <c r="L278" s="17"/>
      <c r="M278" s="14"/>
      <c r="N278" s="17"/>
      <c r="O278" s="17"/>
    </row>
    <row r="279" spans="1:15">
      <c r="A279" s="14"/>
      <c r="B279" s="15"/>
      <c r="C279" s="16"/>
      <c r="D279" s="14"/>
      <c r="E279" s="17"/>
      <c r="F279" s="17"/>
      <c r="G279" s="17"/>
      <c r="H279" s="17"/>
      <c r="I279" s="17"/>
      <c r="J279" s="18"/>
      <c r="K279" s="19"/>
      <c r="L279" s="17"/>
      <c r="M279" s="14"/>
      <c r="N279" s="17"/>
      <c r="O279" s="17"/>
    </row>
    <row r="280" spans="1:15">
      <c r="A280" s="14"/>
      <c r="B280" s="15"/>
      <c r="C280" s="16"/>
      <c r="D280" s="14"/>
      <c r="E280" s="17"/>
      <c r="F280" s="17"/>
      <c r="G280" s="17"/>
      <c r="H280" s="17"/>
      <c r="I280" s="17"/>
      <c r="J280" s="18"/>
      <c r="K280" s="19"/>
      <c r="L280" s="17"/>
      <c r="M280" s="14"/>
      <c r="N280" s="17"/>
      <c r="O280" s="17"/>
    </row>
    <row r="281" spans="1:15">
      <c r="A281" s="14"/>
      <c r="B281" s="15"/>
      <c r="C281" s="16"/>
      <c r="D281" s="14"/>
      <c r="E281" s="17"/>
      <c r="F281" s="17"/>
      <c r="G281" s="17"/>
      <c r="H281" s="17"/>
      <c r="I281" s="17"/>
      <c r="J281" s="18"/>
      <c r="K281" s="19"/>
      <c r="L281" s="17"/>
      <c r="M281" s="14"/>
      <c r="N281" s="17"/>
      <c r="O281" s="17"/>
    </row>
    <row r="282" spans="1:15">
      <c r="A282" s="14"/>
      <c r="B282" s="15"/>
      <c r="C282" s="16"/>
      <c r="D282" s="14"/>
      <c r="E282" s="17"/>
      <c r="F282" s="17"/>
      <c r="G282" s="17"/>
      <c r="H282" s="17"/>
      <c r="I282" s="17"/>
      <c r="J282" s="18"/>
      <c r="K282" s="19"/>
      <c r="L282" s="17"/>
      <c r="M282" s="14"/>
      <c r="N282" s="17"/>
      <c r="O282" s="17"/>
    </row>
    <row r="283" spans="1:15">
      <c r="A283" s="14"/>
      <c r="B283" s="15"/>
      <c r="C283" s="16"/>
      <c r="D283" s="14"/>
      <c r="E283" s="17"/>
      <c r="F283" s="17"/>
      <c r="G283" s="17"/>
      <c r="H283" s="17"/>
      <c r="I283" s="17"/>
      <c r="J283" s="18"/>
      <c r="K283" s="19"/>
      <c r="L283" s="17"/>
      <c r="M283" s="14"/>
      <c r="N283" s="17"/>
      <c r="O283" s="17"/>
    </row>
    <row r="284" spans="1:15">
      <c r="A284" s="14"/>
      <c r="B284" s="15"/>
      <c r="C284" s="16"/>
      <c r="D284" s="14"/>
      <c r="E284" s="17"/>
      <c r="F284" s="17"/>
      <c r="G284" s="17"/>
      <c r="H284" s="17"/>
      <c r="I284" s="17"/>
      <c r="J284" s="18"/>
      <c r="K284" s="19"/>
      <c r="L284" s="17"/>
      <c r="M284" s="14"/>
      <c r="N284" s="17"/>
      <c r="O284" s="17"/>
    </row>
    <row r="285" spans="1:15">
      <c r="A285" s="14"/>
      <c r="B285" s="15"/>
      <c r="C285" s="16"/>
      <c r="D285" s="14"/>
      <c r="E285" s="17"/>
      <c r="F285" s="17"/>
      <c r="G285" s="17"/>
      <c r="H285" s="17"/>
      <c r="I285" s="17"/>
      <c r="J285" s="18"/>
      <c r="K285" s="19"/>
      <c r="L285" s="17"/>
      <c r="M285" s="14"/>
      <c r="N285" s="17"/>
      <c r="O285" s="17"/>
    </row>
    <row r="286" spans="1:15">
      <c r="A286" s="14"/>
      <c r="B286" s="15"/>
      <c r="C286" s="16"/>
      <c r="D286" s="14"/>
      <c r="E286" s="17"/>
      <c r="F286" s="17"/>
      <c r="G286" s="17"/>
      <c r="H286" s="17"/>
      <c r="I286" s="17"/>
      <c r="J286" s="18"/>
      <c r="K286" s="19"/>
      <c r="L286" s="17"/>
      <c r="M286" s="14"/>
      <c r="N286" s="17"/>
      <c r="O286" s="17"/>
    </row>
    <row r="287" spans="1:15">
      <c r="A287" s="14"/>
      <c r="B287" s="15"/>
      <c r="C287" s="16"/>
      <c r="D287" s="14"/>
      <c r="E287" s="17"/>
      <c r="F287" s="17"/>
      <c r="G287" s="17"/>
      <c r="H287" s="17"/>
      <c r="I287" s="17"/>
      <c r="J287" s="18"/>
      <c r="K287" s="19"/>
      <c r="L287" s="17"/>
      <c r="M287" s="14"/>
      <c r="N287" s="17"/>
      <c r="O287" s="17"/>
    </row>
    <row r="288" spans="1:15">
      <c r="A288" s="14"/>
      <c r="B288" s="15"/>
      <c r="C288" s="16"/>
      <c r="D288" s="14"/>
      <c r="E288" s="17"/>
      <c r="F288" s="17"/>
      <c r="G288" s="17"/>
      <c r="H288" s="17"/>
      <c r="I288" s="17"/>
      <c r="J288" s="18"/>
      <c r="K288" s="19"/>
      <c r="L288" s="17"/>
      <c r="M288" s="14"/>
      <c r="N288" s="17"/>
      <c r="O288" s="17"/>
    </row>
    <row r="289" spans="1:15">
      <c r="A289" s="14"/>
      <c r="B289" s="15"/>
      <c r="C289" s="16"/>
      <c r="D289" s="14"/>
      <c r="E289" s="17"/>
      <c r="F289" s="17"/>
      <c r="G289" s="17"/>
      <c r="H289" s="17"/>
      <c r="I289" s="17"/>
      <c r="J289" s="18"/>
      <c r="K289" s="19"/>
      <c r="L289" s="17"/>
      <c r="M289" s="14"/>
      <c r="N289" s="17"/>
      <c r="O289" s="17"/>
    </row>
    <row r="290" spans="1:15">
      <c r="A290" s="14"/>
      <c r="B290" s="15"/>
      <c r="C290" s="16"/>
      <c r="D290" s="14"/>
      <c r="E290" s="17"/>
      <c r="F290" s="17"/>
      <c r="G290" s="17"/>
      <c r="H290" s="17"/>
      <c r="I290" s="17"/>
      <c r="J290" s="18"/>
      <c r="K290" s="19"/>
      <c r="L290" s="17"/>
      <c r="M290" s="14"/>
      <c r="N290" s="17"/>
      <c r="O290" s="17"/>
    </row>
    <row r="291" spans="1:15">
      <c r="A291" s="14"/>
      <c r="B291" s="15"/>
      <c r="C291" s="16"/>
      <c r="D291" s="14"/>
      <c r="E291" s="17"/>
      <c r="F291" s="17"/>
      <c r="G291" s="17"/>
      <c r="H291" s="17"/>
      <c r="I291" s="17"/>
      <c r="J291" s="18"/>
      <c r="K291" s="19"/>
      <c r="L291" s="17"/>
      <c r="M291" s="14"/>
      <c r="N291" s="17"/>
      <c r="O291" s="17"/>
    </row>
    <row r="292" spans="1:15">
      <c r="A292" s="14"/>
      <c r="B292" s="15"/>
      <c r="C292" s="16"/>
      <c r="D292" s="14"/>
      <c r="E292" s="17"/>
      <c r="F292" s="17"/>
      <c r="G292" s="17"/>
      <c r="H292" s="17"/>
      <c r="I292" s="17"/>
      <c r="J292" s="18"/>
      <c r="K292" s="19"/>
      <c r="L292" s="17"/>
      <c r="M292" s="14"/>
      <c r="N292" s="17"/>
      <c r="O292" s="17"/>
    </row>
    <row r="293" spans="1:15">
      <c r="A293" s="14"/>
      <c r="B293" s="15"/>
      <c r="C293" s="16"/>
      <c r="D293" s="14"/>
      <c r="E293" s="17"/>
      <c r="F293" s="17"/>
      <c r="G293" s="17"/>
      <c r="H293" s="17"/>
      <c r="I293" s="17"/>
      <c r="J293" s="18"/>
      <c r="K293" s="19"/>
      <c r="L293" s="17"/>
      <c r="M293" s="14"/>
      <c r="N293" s="17"/>
      <c r="O293" s="17"/>
    </row>
    <row r="294" spans="1:15">
      <c r="A294" s="14"/>
      <c r="B294" s="15"/>
      <c r="C294" s="16"/>
      <c r="D294" s="14"/>
      <c r="E294" s="17"/>
      <c r="F294" s="17"/>
      <c r="G294" s="17"/>
      <c r="H294" s="17"/>
      <c r="I294" s="17"/>
      <c r="J294" s="18"/>
      <c r="K294" s="19"/>
      <c r="L294" s="17"/>
      <c r="M294" s="14"/>
      <c r="N294" s="17"/>
      <c r="O294" s="17"/>
    </row>
    <row r="295" spans="1:15">
      <c r="A295" s="14"/>
      <c r="B295" s="15"/>
      <c r="C295" s="16"/>
      <c r="D295" s="14"/>
      <c r="E295" s="17"/>
      <c r="F295" s="17"/>
      <c r="G295" s="17"/>
      <c r="H295" s="17"/>
      <c r="I295" s="17"/>
      <c r="J295" s="18"/>
      <c r="K295" s="19"/>
      <c r="L295" s="17"/>
      <c r="M295" s="14"/>
      <c r="N295" s="17"/>
      <c r="O295" s="17"/>
    </row>
    <row r="296" spans="1:15">
      <c r="A296" s="14"/>
      <c r="B296" s="15"/>
      <c r="C296" s="16"/>
      <c r="D296" s="14"/>
      <c r="E296" s="17"/>
      <c r="F296" s="17"/>
      <c r="G296" s="17"/>
      <c r="H296" s="17"/>
      <c r="I296" s="17"/>
      <c r="J296" s="18"/>
      <c r="K296" s="19"/>
      <c r="L296" s="17"/>
      <c r="M296" s="14"/>
      <c r="N296" s="17"/>
      <c r="O296" s="17"/>
    </row>
    <row r="297" spans="1:15">
      <c r="A297" s="14"/>
      <c r="B297" s="15"/>
      <c r="C297" s="16"/>
      <c r="D297" s="14"/>
      <c r="E297" s="17"/>
      <c r="F297" s="17"/>
      <c r="G297" s="17"/>
      <c r="H297" s="17"/>
      <c r="I297" s="17"/>
      <c r="J297" s="18"/>
      <c r="K297" s="19"/>
      <c r="L297" s="17"/>
      <c r="M297" s="14"/>
      <c r="N297" s="17"/>
      <c r="O297" s="17"/>
    </row>
    <row r="298" spans="1:15">
      <c r="A298" s="14"/>
      <c r="B298" s="15"/>
      <c r="C298" s="16"/>
      <c r="D298" s="14"/>
      <c r="E298" s="17"/>
      <c r="F298" s="17"/>
      <c r="G298" s="17"/>
      <c r="H298" s="17"/>
      <c r="I298" s="17"/>
      <c r="J298" s="18"/>
      <c r="K298" s="19"/>
      <c r="L298" s="17"/>
      <c r="M298" s="14"/>
      <c r="N298" s="17"/>
      <c r="O298" s="17"/>
    </row>
    <row r="299" spans="1:15">
      <c r="A299" s="14"/>
      <c r="B299" s="15"/>
      <c r="C299" s="16"/>
      <c r="D299" s="14"/>
      <c r="E299" s="17"/>
      <c r="F299" s="17"/>
      <c r="G299" s="17"/>
      <c r="H299" s="17"/>
      <c r="I299" s="17"/>
      <c r="J299" s="18"/>
      <c r="K299" s="19"/>
      <c r="L299" s="17"/>
      <c r="M299" s="14"/>
      <c r="N299" s="17"/>
      <c r="O299" s="17"/>
    </row>
    <row r="300" spans="1:15">
      <c r="A300" s="14"/>
      <c r="B300" s="15"/>
      <c r="C300" s="16"/>
      <c r="D300" s="14"/>
      <c r="E300" s="17"/>
      <c r="F300" s="17"/>
      <c r="G300" s="17"/>
      <c r="H300" s="17"/>
      <c r="I300" s="17"/>
      <c r="J300" s="18"/>
      <c r="K300" s="19"/>
      <c r="L300" s="17"/>
      <c r="M300" s="14"/>
      <c r="N300" s="17"/>
      <c r="O300" s="17"/>
    </row>
    <row r="301" spans="1:15">
      <c r="A301" s="14"/>
      <c r="B301" s="15"/>
      <c r="C301" s="16"/>
      <c r="D301" s="14"/>
      <c r="E301" s="17"/>
      <c r="F301" s="17"/>
      <c r="G301" s="17"/>
      <c r="H301" s="17"/>
      <c r="I301" s="17"/>
      <c r="J301" s="18"/>
      <c r="K301" s="19"/>
      <c r="L301" s="17"/>
      <c r="M301" s="14"/>
      <c r="N301" s="17"/>
      <c r="O301" s="17"/>
    </row>
    <row r="302" spans="1:15">
      <c r="A302" s="14"/>
      <c r="B302" s="15"/>
      <c r="C302" s="16"/>
      <c r="D302" s="14"/>
      <c r="E302" s="17"/>
      <c r="F302" s="17"/>
      <c r="G302" s="17"/>
      <c r="H302" s="17"/>
      <c r="I302" s="17"/>
      <c r="J302" s="18"/>
      <c r="K302" s="19"/>
      <c r="L302" s="17"/>
      <c r="M302" s="14"/>
      <c r="N302" s="17"/>
      <c r="O302" s="17"/>
    </row>
    <row r="303" spans="1:15">
      <c r="A303" s="14"/>
      <c r="B303" s="15"/>
      <c r="C303" s="16"/>
      <c r="D303" s="14"/>
      <c r="E303" s="17"/>
      <c r="F303" s="17"/>
      <c r="G303" s="17"/>
      <c r="H303" s="17"/>
      <c r="I303" s="17"/>
      <c r="J303" s="18"/>
      <c r="K303" s="19"/>
      <c r="L303" s="17"/>
      <c r="M303" s="14"/>
      <c r="N303" s="17"/>
      <c r="O303" s="17"/>
    </row>
    <row r="304" spans="1:15">
      <c r="A304" s="14"/>
      <c r="B304" s="15"/>
      <c r="C304" s="16"/>
      <c r="D304" s="14"/>
      <c r="E304" s="17"/>
      <c r="F304" s="17"/>
      <c r="G304" s="17"/>
      <c r="H304" s="17"/>
      <c r="I304" s="17"/>
      <c r="J304" s="18"/>
      <c r="K304" s="19"/>
      <c r="L304" s="17"/>
      <c r="M304" s="14"/>
      <c r="N304" s="17"/>
      <c r="O304" s="17"/>
    </row>
    <row r="305" spans="1:15">
      <c r="A305" s="14"/>
      <c r="B305" s="15"/>
      <c r="C305" s="16"/>
      <c r="D305" s="14"/>
      <c r="E305" s="17"/>
      <c r="F305" s="17"/>
      <c r="G305" s="17"/>
      <c r="H305" s="17"/>
      <c r="I305" s="17"/>
      <c r="J305" s="18"/>
      <c r="K305" s="19"/>
      <c r="L305" s="17"/>
      <c r="M305" s="14"/>
      <c r="N305" s="17"/>
      <c r="O305" s="17"/>
    </row>
    <row r="306" spans="1:15">
      <c r="A306" s="14"/>
      <c r="B306" s="15"/>
      <c r="C306" s="16"/>
      <c r="D306" s="14"/>
      <c r="E306" s="17"/>
      <c r="F306" s="17"/>
      <c r="G306" s="17"/>
      <c r="H306" s="17"/>
      <c r="I306" s="17"/>
      <c r="J306" s="18"/>
      <c r="K306" s="19"/>
      <c r="L306" s="17"/>
      <c r="M306" s="14"/>
      <c r="N306" s="17"/>
      <c r="O306" s="17"/>
    </row>
    <row r="307" spans="1:15">
      <c r="A307" s="14"/>
      <c r="B307" s="15"/>
      <c r="C307" s="16"/>
      <c r="D307" s="14"/>
      <c r="E307" s="17"/>
      <c r="F307" s="17"/>
      <c r="G307" s="17"/>
      <c r="H307" s="17"/>
      <c r="I307" s="17"/>
      <c r="J307" s="18"/>
      <c r="K307" s="19"/>
      <c r="L307" s="17"/>
      <c r="M307" s="14"/>
      <c r="N307" s="17"/>
      <c r="O307" s="17"/>
    </row>
    <row r="308" spans="1:15">
      <c r="A308" s="14"/>
      <c r="B308" s="15"/>
      <c r="C308" s="16"/>
      <c r="D308" s="14"/>
      <c r="E308" s="17"/>
      <c r="F308" s="17"/>
      <c r="G308" s="17"/>
      <c r="H308" s="17"/>
      <c r="I308" s="17"/>
      <c r="J308" s="18"/>
      <c r="K308" s="19"/>
      <c r="L308" s="17"/>
      <c r="M308" s="14"/>
      <c r="N308" s="17"/>
      <c r="O308" s="17"/>
    </row>
    <row r="309" spans="1:15">
      <c r="A309" s="14"/>
      <c r="B309" s="15"/>
      <c r="C309" s="16"/>
      <c r="D309" s="14"/>
      <c r="E309" s="17"/>
      <c r="F309" s="17"/>
      <c r="G309" s="17"/>
      <c r="H309" s="17"/>
      <c r="I309" s="17"/>
      <c r="J309" s="18"/>
      <c r="K309" s="19"/>
      <c r="L309" s="17"/>
      <c r="M309" s="14"/>
      <c r="N309" s="17"/>
      <c r="O309" s="17"/>
    </row>
    <row r="310" spans="1:15">
      <c r="A310" s="14"/>
      <c r="B310" s="15"/>
      <c r="C310" s="16"/>
      <c r="D310" s="14"/>
      <c r="E310" s="17"/>
      <c r="F310" s="17"/>
      <c r="G310" s="17"/>
      <c r="H310" s="17"/>
      <c r="I310" s="17"/>
      <c r="J310" s="18"/>
      <c r="K310" s="19"/>
      <c r="L310" s="17"/>
      <c r="M310" s="14"/>
      <c r="N310" s="17"/>
      <c r="O310" s="17"/>
    </row>
    <row r="311" spans="1:15">
      <c r="A311" s="14"/>
      <c r="B311" s="15"/>
      <c r="C311" s="16"/>
      <c r="D311" s="14"/>
      <c r="E311" s="17"/>
      <c r="F311" s="17"/>
      <c r="G311" s="17"/>
      <c r="H311" s="17"/>
      <c r="I311" s="17"/>
      <c r="J311" s="18"/>
      <c r="K311" s="19"/>
      <c r="L311" s="17"/>
      <c r="M311" s="14"/>
      <c r="N311" s="17"/>
      <c r="O311" s="17"/>
    </row>
    <row r="312" spans="1:15">
      <c r="A312" s="14"/>
      <c r="B312" s="15"/>
      <c r="C312" s="16"/>
      <c r="D312" s="14"/>
      <c r="E312" s="17"/>
      <c r="F312" s="17"/>
      <c r="G312" s="17"/>
      <c r="H312" s="17"/>
      <c r="I312" s="17"/>
      <c r="J312" s="18"/>
      <c r="K312" s="19"/>
      <c r="L312" s="17"/>
      <c r="M312" s="14"/>
      <c r="N312" s="17"/>
      <c r="O312" s="17"/>
    </row>
    <row r="313" spans="1:15">
      <c r="A313" s="14"/>
      <c r="B313" s="15"/>
      <c r="C313" s="16"/>
      <c r="D313" s="14"/>
      <c r="E313" s="17"/>
      <c r="F313" s="17"/>
      <c r="G313" s="17"/>
      <c r="H313" s="17"/>
      <c r="I313" s="17"/>
      <c r="J313" s="18"/>
      <c r="K313" s="19"/>
      <c r="L313" s="17"/>
      <c r="M313" s="14"/>
      <c r="N313" s="17"/>
      <c r="O313" s="17"/>
    </row>
    <row r="314" spans="1:15">
      <c r="A314" s="14"/>
      <c r="B314" s="15"/>
      <c r="C314" s="16"/>
      <c r="D314" s="14"/>
      <c r="E314" s="17"/>
      <c r="F314" s="17"/>
      <c r="G314" s="17"/>
      <c r="H314" s="17"/>
      <c r="I314" s="17"/>
      <c r="J314" s="18"/>
      <c r="K314" s="19"/>
      <c r="L314" s="17"/>
      <c r="M314" s="14"/>
      <c r="N314" s="17"/>
      <c r="O314" s="17"/>
    </row>
    <row r="315" spans="1:15">
      <c r="A315" s="14"/>
      <c r="B315" s="15"/>
      <c r="C315" s="16"/>
      <c r="D315" s="14"/>
      <c r="E315" s="17"/>
      <c r="F315" s="17"/>
      <c r="G315" s="17"/>
      <c r="H315" s="17"/>
      <c r="I315" s="17"/>
      <c r="J315" s="18"/>
      <c r="K315" s="19"/>
      <c r="L315" s="17"/>
      <c r="M315" s="14"/>
      <c r="N315" s="17"/>
      <c r="O315" s="17"/>
    </row>
    <row r="316" spans="1:15">
      <c r="A316" s="14"/>
      <c r="B316" s="15"/>
      <c r="C316" s="16"/>
      <c r="D316" s="14"/>
      <c r="E316" s="17"/>
      <c r="F316" s="17"/>
      <c r="G316" s="17"/>
      <c r="H316" s="17"/>
      <c r="I316" s="17"/>
      <c r="J316" s="18"/>
      <c r="K316" s="19"/>
      <c r="L316" s="17"/>
      <c r="M316" s="14"/>
      <c r="N316" s="17"/>
      <c r="O316" s="17"/>
    </row>
    <row r="317" spans="1:15">
      <c r="A317" s="14"/>
      <c r="B317" s="15"/>
      <c r="C317" s="16"/>
      <c r="D317" s="14"/>
      <c r="E317" s="17"/>
      <c r="F317" s="17"/>
      <c r="G317" s="17"/>
      <c r="H317" s="17"/>
      <c r="I317" s="17"/>
      <c r="J317" s="18"/>
      <c r="K317" s="19"/>
      <c r="L317" s="17"/>
      <c r="M317" s="14"/>
      <c r="N317" s="17"/>
      <c r="O317" s="17"/>
    </row>
    <row r="318" spans="1:15">
      <c r="A318" s="14"/>
      <c r="B318" s="15"/>
      <c r="C318" s="16"/>
      <c r="D318" s="14"/>
      <c r="E318" s="17"/>
      <c r="F318" s="17"/>
      <c r="G318" s="17"/>
      <c r="H318" s="17"/>
      <c r="I318" s="17"/>
      <c r="J318" s="18"/>
      <c r="K318" s="19"/>
      <c r="L318" s="17"/>
      <c r="M318" s="14"/>
      <c r="N318" s="17"/>
      <c r="O318" s="17"/>
    </row>
    <row r="319" spans="1:15">
      <c r="A319" s="14"/>
      <c r="B319" s="15"/>
      <c r="C319" s="16"/>
      <c r="D319" s="14"/>
      <c r="E319" s="17"/>
      <c r="F319" s="17"/>
      <c r="G319" s="17"/>
      <c r="H319" s="17"/>
      <c r="I319" s="17"/>
      <c r="J319" s="18"/>
      <c r="K319" s="19"/>
      <c r="L319" s="17"/>
      <c r="M319" s="14"/>
      <c r="N319" s="17"/>
      <c r="O319" s="17"/>
    </row>
    <row r="320" spans="1:15">
      <c r="A320" s="14"/>
      <c r="B320" s="15"/>
      <c r="C320" s="16"/>
      <c r="D320" s="14"/>
      <c r="E320" s="17"/>
      <c r="F320" s="17"/>
      <c r="G320" s="17"/>
      <c r="H320" s="17"/>
      <c r="I320" s="17"/>
      <c r="J320" s="18"/>
      <c r="K320" s="19"/>
      <c r="L320" s="17"/>
      <c r="M320" s="14"/>
      <c r="N320" s="17"/>
      <c r="O320" s="17"/>
    </row>
    <row r="321" spans="1:15">
      <c r="A321" s="14"/>
      <c r="B321" s="15"/>
      <c r="C321" s="16"/>
      <c r="D321" s="14"/>
      <c r="E321" s="17"/>
      <c r="F321" s="17"/>
      <c r="G321" s="17"/>
      <c r="H321" s="17"/>
      <c r="I321" s="17"/>
      <c r="J321" s="18"/>
      <c r="K321" s="19"/>
      <c r="L321" s="17"/>
      <c r="M321" s="14"/>
      <c r="N321" s="17"/>
      <c r="O321" s="17"/>
    </row>
    <row r="322" spans="1:15">
      <c r="A322" s="14"/>
      <c r="B322" s="15"/>
      <c r="C322" s="16"/>
      <c r="D322" s="14"/>
      <c r="E322" s="17"/>
      <c r="F322" s="17"/>
      <c r="G322" s="17"/>
      <c r="H322" s="17"/>
      <c r="I322" s="17"/>
      <c r="J322" s="18"/>
      <c r="K322" s="19"/>
      <c r="L322" s="17"/>
      <c r="M322" s="14"/>
      <c r="N322" s="17"/>
      <c r="O322" s="17"/>
    </row>
    <row r="323" spans="1:15">
      <c r="A323" s="14"/>
      <c r="B323" s="15"/>
      <c r="C323" s="16"/>
      <c r="D323" s="14"/>
      <c r="E323" s="17"/>
      <c r="F323" s="17"/>
      <c r="G323" s="17"/>
      <c r="H323" s="17"/>
      <c r="I323" s="17"/>
      <c r="J323" s="18"/>
      <c r="K323" s="19"/>
      <c r="L323" s="17"/>
      <c r="M323" s="14"/>
      <c r="N323" s="17"/>
      <c r="O323" s="17"/>
    </row>
    <row r="324" spans="1:15">
      <c r="A324" s="14"/>
      <c r="B324" s="15"/>
      <c r="C324" s="16"/>
      <c r="D324" s="14"/>
      <c r="E324" s="17"/>
      <c r="F324" s="17"/>
      <c r="G324" s="17"/>
      <c r="H324" s="17"/>
      <c r="I324" s="17"/>
      <c r="J324" s="18"/>
      <c r="K324" s="19"/>
      <c r="L324" s="17"/>
      <c r="M324" s="14"/>
      <c r="N324" s="17"/>
      <c r="O324" s="17"/>
    </row>
    <row r="325" spans="1:15">
      <c r="A325" s="14"/>
      <c r="B325" s="15"/>
      <c r="C325" s="16"/>
      <c r="D325" s="14"/>
      <c r="E325" s="17"/>
      <c r="F325" s="17"/>
      <c r="G325" s="17"/>
      <c r="H325" s="17"/>
      <c r="I325" s="17"/>
      <c r="J325" s="18"/>
      <c r="K325" s="19"/>
      <c r="L325" s="17"/>
      <c r="M325" s="14"/>
      <c r="N325" s="17"/>
      <c r="O325" s="17"/>
    </row>
    <row r="326" spans="1:15">
      <c r="A326" s="14"/>
      <c r="B326" s="15"/>
      <c r="C326" s="16"/>
      <c r="D326" s="14"/>
      <c r="E326" s="17"/>
      <c r="F326" s="17"/>
      <c r="G326" s="17"/>
      <c r="H326" s="17"/>
      <c r="I326" s="17"/>
      <c r="J326" s="18"/>
      <c r="K326" s="19"/>
      <c r="L326" s="17"/>
      <c r="M326" s="14"/>
      <c r="N326" s="17"/>
      <c r="O326" s="17"/>
    </row>
    <row r="327" spans="1:15">
      <c r="A327" s="14"/>
      <c r="B327" s="15"/>
      <c r="C327" s="16"/>
      <c r="D327" s="14"/>
      <c r="E327" s="17"/>
      <c r="F327" s="17"/>
      <c r="G327" s="17"/>
      <c r="H327" s="17"/>
      <c r="I327" s="17"/>
      <c r="J327" s="18"/>
      <c r="K327" s="19"/>
      <c r="L327" s="17"/>
      <c r="M327" s="14"/>
      <c r="N327" s="17"/>
      <c r="O327" s="17"/>
    </row>
    <row r="328" spans="1:15">
      <c r="A328" s="14"/>
      <c r="B328" s="15"/>
      <c r="C328" s="16"/>
      <c r="D328" s="14"/>
      <c r="E328" s="17"/>
      <c r="F328" s="17"/>
      <c r="G328" s="17"/>
      <c r="H328" s="17"/>
      <c r="I328" s="17"/>
      <c r="J328" s="18"/>
      <c r="K328" s="19"/>
      <c r="L328" s="17"/>
      <c r="M328" s="14"/>
      <c r="N328" s="17"/>
      <c r="O328" s="17"/>
    </row>
    <row r="329" spans="1:15">
      <c r="A329" s="14"/>
      <c r="B329" s="15"/>
      <c r="C329" s="16"/>
      <c r="D329" s="14"/>
      <c r="E329" s="17"/>
      <c r="F329" s="17"/>
      <c r="G329" s="17"/>
      <c r="H329" s="17"/>
      <c r="I329" s="17"/>
      <c r="J329" s="18"/>
      <c r="K329" s="19"/>
      <c r="L329" s="17"/>
      <c r="M329" s="14"/>
      <c r="N329" s="17"/>
      <c r="O329" s="17"/>
    </row>
    <row r="330" spans="1:15">
      <c r="A330" s="14"/>
      <c r="B330" s="15"/>
      <c r="C330" s="16"/>
      <c r="D330" s="14"/>
      <c r="E330" s="17"/>
      <c r="F330" s="17"/>
      <c r="G330" s="17"/>
      <c r="H330" s="17"/>
      <c r="I330" s="17"/>
      <c r="J330" s="18"/>
      <c r="K330" s="19"/>
      <c r="L330" s="17"/>
      <c r="M330" s="14"/>
      <c r="N330" s="17"/>
      <c r="O330" s="17"/>
    </row>
    <row r="331" spans="1:15">
      <c r="A331" s="14"/>
      <c r="B331" s="15"/>
      <c r="C331" s="16"/>
      <c r="D331" s="14"/>
      <c r="E331" s="17"/>
      <c r="F331" s="17"/>
      <c r="G331" s="17"/>
      <c r="H331" s="17"/>
      <c r="I331" s="17"/>
      <c r="J331" s="18"/>
      <c r="K331" s="19"/>
      <c r="L331" s="17"/>
      <c r="M331" s="14"/>
      <c r="N331" s="17"/>
      <c r="O331" s="17"/>
    </row>
    <row r="332" spans="1:15">
      <c r="A332" s="14"/>
      <c r="B332" s="15"/>
      <c r="C332" s="16"/>
      <c r="D332" s="14"/>
      <c r="E332" s="17"/>
      <c r="F332" s="17"/>
      <c r="G332" s="17"/>
      <c r="H332" s="17"/>
      <c r="I332" s="17"/>
      <c r="J332" s="18"/>
      <c r="K332" s="19"/>
      <c r="L332" s="17"/>
      <c r="M332" s="14"/>
      <c r="N332" s="17"/>
      <c r="O332" s="17"/>
    </row>
    <row r="333" spans="1:15">
      <c r="A333" s="14"/>
      <c r="B333" s="15"/>
      <c r="C333" s="16"/>
      <c r="D333" s="14"/>
      <c r="E333" s="17"/>
      <c r="F333" s="17"/>
      <c r="G333" s="17"/>
      <c r="H333" s="17"/>
      <c r="I333" s="17"/>
      <c r="J333" s="18"/>
      <c r="K333" s="19"/>
      <c r="L333" s="17"/>
      <c r="M333" s="14"/>
      <c r="N333" s="17"/>
      <c r="O333" s="17"/>
    </row>
    <row r="334" spans="1:15">
      <c r="A334" s="14"/>
      <c r="B334" s="15"/>
      <c r="C334" s="16"/>
      <c r="D334" s="14"/>
      <c r="E334" s="17"/>
      <c r="F334" s="17"/>
      <c r="G334" s="17"/>
      <c r="H334" s="17"/>
      <c r="I334" s="17"/>
      <c r="J334" s="18"/>
      <c r="K334" s="19"/>
      <c r="L334" s="17"/>
      <c r="M334" s="14"/>
      <c r="N334" s="17"/>
      <c r="O334" s="17"/>
    </row>
    <row r="335" spans="1:15">
      <c r="A335" s="14"/>
      <c r="B335" s="15"/>
      <c r="C335" s="16"/>
      <c r="D335" s="14"/>
      <c r="E335" s="17"/>
      <c r="F335" s="17"/>
      <c r="G335" s="17"/>
      <c r="H335" s="17"/>
      <c r="I335" s="17"/>
      <c r="J335" s="18"/>
      <c r="K335" s="19"/>
      <c r="L335" s="17"/>
      <c r="M335" s="14"/>
      <c r="N335" s="17"/>
      <c r="O335" s="17"/>
    </row>
    <row r="336" spans="1:15">
      <c r="A336" s="14"/>
      <c r="B336" s="15"/>
      <c r="C336" s="16"/>
      <c r="D336" s="14"/>
      <c r="E336" s="17"/>
      <c r="F336" s="17"/>
      <c r="G336" s="17"/>
      <c r="H336" s="17"/>
      <c r="I336" s="17"/>
      <c r="J336" s="18"/>
      <c r="K336" s="19"/>
      <c r="L336" s="17"/>
      <c r="M336" s="14"/>
      <c r="N336" s="17"/>
      <c r="O336" s="17"/>
    </row>
    <row r="337" spans="1:15">
      <c r="A337" s="14"/>
      <c r="B337" s="15"/>
      <c r="C337" s="16"/>
      <c r="D337" s="14"/>
      <c r="E337" s="17"/>
      <c r="F337" s="17"/>
      <c r="G337" s="17"/>
      <c r="H337" s="17"/>
      <c r="I337" s="17"/>
      <c r="J337" s="18"/>
      <c r="K337" s="19"/>
      <c r="L337" s="17"/>
      <c r="M337" s="14"/>
      <c r="N337" s="17"/>
      <c r="O337" s="17"/>
    </row>
    <row r="338" spans="1:15">
      <c r="A338" s="14"/>
      <c r="B338" s="15"/>
      <c r="C338" s="16"/>
      <c r="D338" s="14"/>
      <c r="E338" s="17"/>
      <c r="F338" s="17"/>
      <c r="G338" s="17"/>
      <c r="H338" s="17"/>
      <c r="I338" s="17"/>
      <c r="J338" s="18"/>
      <c r="K338" s="19"/>
      <c r="L338" s="17"/>
      <c r="M338" s="14"/>
      <c r="N338" s="17"/>
      <c r="O338" s="17"/>
    </row>
    <row r="339" spans="1:15">
      <c r="A339" s="14"/>
      <c r="B339" s="15"/>
      <c r="C339" s="16"/>
      <c r="D339" s="14"/>
      <c r="E339" s="17"/>
      <c r="F339" s="17"/>
      <c r="G339" s="17"/>
      <c r="H339" s="17"/>
      <c r="I339" s="17"/>
      <c r="J339" s="18"/>
      <c r="K339" s="19"/>
      <c r="L339" s="17"/>
      <c r="M339" s="14"/>
      <c r="N339" s="17"/>
      <c r="O339" s="17"/>
    </row>
    <row r="340" spans="1:15">
      <c r="A340" s="14"/>
      <c r="B340" s="15"/>
      <c r="C340" s="16"/>
      <c r="D340" s="14"/>
      <c r="E340" s="17"/>
      <c r="F340" s="17"/>
      <c r="G340" s="17"/>
      <c r="H340" s="17"/>
      <c r="I340" s="17"/>
      <c r="J340" s="18"/>
      <c r="K340" s="19"/>
      <c r="L340" s="17"/>
      <c r="M340" s="14"/>
      <c r="N340" s="17"/>
      <c r="O340" s="17"/>
    </row>
    <row r="341" spans="1:15">
      <c r="A341" s="14"/>
      <c r="B341" s="15"/>
      <c r="C341" s="16"/>
      <c r="D341" s="14"/>
      <c r="E341" s="17"/>
      <c r="F341" s="17"/>
      <c r="G341" s="17"/>
      <c r="H341" s="17"/>
      <c r="I341" s="17"/>
      <c r="J341" s="18"/>
      <c r="K341" s="19"/>
      <c r="L341" s="17"/>
      <c r="M341" s="14"/>
      <c r="N341" s="17"/>
      <c r="O341" s="17"/>
    </row>
    <row r="342" spans="1:15">
      <c r="A342" s="14"/>
      <c r="B342" s="15"/>
      <c r="C342" s="16"/>
      <c r="D342" s="14"/>
      <c r="E342" s="17"/>
      <c r="F342" s="17"/>
      <c r="G342" s="17"/>
      <c r="H342" s="17"/>
      <c r="I342" s="17"/>
      <c r="J342" s="18"/>
      <c r="K342" s="19"/>
      <c r="L342" s="17"/>
      <c r="M342" s="14"/>
      <c r="N342" s="17"/>
      <c r="O342" s="17"/>
    </row>
    <row r="343" spans="1:15">
      <c r="A343" s="14"/>
      <c r="B343" s="15"/>
      <c r="C343" s="16"/>
      <c r="D343" s="14"/>
      <c r="E343" s="17"/>
      <c r="F343" s="17"/>
      <c r="G343" s="17"/>
      <c r="H343" s="17"/>
      <c r="I343" s="17"/>
      <c r="J343" s="18"/>
      <c r="K343" s="19"/>
      <c r="L343" s="17"/>
      <c r="M343" s="14"/>
      <c r="N343" s="17"/>
      <c r="O343" s="17"/>
    </row>
    <row r="344" spans="1:15">
      <c r="A344" s="14"/>
      <c r="B344" s="15"/>
      <c r="C344" s="16"/>
      <c r="D344" s="14"/>
      <c r="E344" s="17"/>
      <c r="F344" s="17"/>
      <c r="G344" s="17"/>
      <c r="H344" s="17"/>
      <c r="I344" s="17"/>
      <c r="J344" s="18"/>
      <c r="K344" s="19"/>
      <c r="L344" s="17"/>
      <c r="M344" s="14"/>
      <c r="N344" s="17"/>
      <c r="O344" s="17"/>
    </row>
    <row r="345" spans="1:15">
      <c r="A345" s="14"/>
      <c r="B345" s="15"/>
      <c r="C345" s="16"/>
      <c r="D345" s="14"/>
      <c r="E345" s="17"/>
      <c r="F345" s="17"/>
      <c r="G345" s="17"/>
      <c r="H345" s="17"/>
      <c r="I345" s="17"/>
      <c r="J345" s="18"/>
      <c r="K345" s="19"/>
      <c r="L345" s="17"/>
      <c r="M345" s="14"/>
      <c r="N345" s="17"/>
      <c r="O345" s="17"/>
    </row>
    <row r="346" spans="1:15">
      <c r="A346" s="14"/>
      <c r="B346" s="15"/>
      <c r="C346" s="16"/>
      <c r="D346" s="14"/>
      <c r="E346" s="17"/>
      <c r="F346" s="17"/>
      <c r="G346" s="17"/>
      <c r="H346" s="17"/>
      <c r="I346" s="17"/>
      <c r="J346" s="18"/>
      <c r="K346" s="19"/>
      <c r="L346" s="17"/>
      <c r="M346" s="14"/>
      <c r="N346" s="17"/>
      <c r="O346" s="17"/>
    </row>
    <row r="347" spans="1:15">
      <c r="A347" s="14"/>
      <c r="B347" s="15"/>
      <c r="C347" s="16"/>
      <c r="D347" s="14"/>
      <c r="E347" s="17"/>
      <c r="F347" s="17"/>
      <c r="G347" s="17"/>
      <c r="H347" s="17"/>
      <c r="I347" s="17"/>
      <c r="J347" s="18"/>
      <c r="K347" s="19"/>
      <c r="L347" s="17"/>
      <c r="M347" s="14"/>
      <c r="N347" s="17"/>
      <c r="O347" s="17"/>
    </row>
    <row r="348" spans="1:15">
      <c r="A348" s="14"/>
      <c r="B348" s="15"/>
      <c r="C348" s="16"/>
      <c r="D348" s="14"/>
      <c r="E348" s="17"/>
      <c r="F348" s="17"/>
      <c r="G348" s="17"/>
      <c r="H348" s="17"/>
      <c r="I348" s="17"/>
      <c r="J348" s="18"/>
      <c r="K348" s="19"/>
      <c r="L348" s="17"/>
      <c r="M348" s="14"/>
      <c r="N348" s="17"/>
      <c r="O348" s="17"/>
    </row>
    <row r="349" spans="1:15">
      <c r="A349" s="14"/>
      <c r="B349" s="15"/>
      <c r="C349" s="16"/>
      <c r="D349" s="14"/>
      <c r="E349" s="17"/>
      <c r="F349" s="17"/>
      <c r="G349" s="17"/>
      <c r="H349" s="17"/>
      <c r="I349" s="17"/>
      <c r="J349" s="18"/>
      <c r="K349" s="19"/>
      <c r="L349" s="17"/>
      <c r="M349" s="14"/>
      <c r="N349" s="17"/>
      <c r="O349" s="17"/>
    </row>
    <row r="350" spans="1:15">
      <c r="A350" s="14"/>
      <c r="B350" s="15"/>
      <c r="C350" s="16"/>
      <c r="D350" s="14"/>
      <c r="E350" s="17"/>
      <c r="F350" s="17"/>
      <c r="G350" s="17"/>
      <c r="H350" s="17"/>
      <c r="I350" s="17"/>
      <c r="J350" s="18"/>
      <c r="K350" s="19"/>
      <c r="L350" s="17"/>
      <c r="M350" s="14"/>
      <c r="N350" s="17"/>
      <c r="O350" s="17"/>
    </row>
    <row r="351" spans="1:15">
      <c r="A351" s="14"/>
      <c r="B351" s="15"/>
      <c r="C351" s="16"/>
      <c r="D351" s="14"/>
      <c r="E351" s="17"/>
      <c r="F351" s="17"/>
      <c r="G351" s="17"/>
      <c r="H351" s="17"/>
      <c r="I351" s="17"/>
      <c r="J351" s="18"/>
      <c r="K351" s="19"/>
      <c r="L351" s="17"/>
      <c r="M351" s="14"/>
      <c r="N351" s="17"/>
      <c r="O351" s="17"/>
    </row>
    <row r="352" spans="1:15">
      <c r="A352" s="14"/>
      <c r="B352" s="15"/>
      <c r="C352" s="16"/>
      <c r="D352" s="14"/>
      <c r="E352" s="17"/>
      <c r="F352" s="17"/>
      <c r="G352" s="17"/>
      <c r="H352" s="17"/>
      <c r="I352" s="17"/>
      <c r="J352" s="18"/>
      <c r="K352" s="19"/>
      <c r="L352" s="17"/>
      <c r="M352" s="14"/>
      <c r="N352" s="17"/>
      <c r="O352" s="17"/>
    </row>
    <row r="353" spans="1:15">
      <c r="A353" s="14"/>
      <c r="B353" s="15"/>
      <c r="C353" s="16"/>
      <c r="D353" s="14"/>
      <c r="E353" s="17"/>
      <c r="F353" s="17"/>
      <c r="G353" s="17"/>
      <c r="H353" s="17"/>
      <c r="I353" s="17"/>
      <c r="J353" s="18"/>
      <c r="K353" s="19"/>
      <c r="L353" s="17"/>
      <c r="M353" s="14"/>
      <c r="N353" s="17"/>
      <c r="O353" s="17"/>
    </row>
    <row r="354" spans="1:15">
      <c r="A354" s="14"/>
      <c r="B354" s="15"/>
      <c r="C354" s="16"/>
      <c r="D354" s="14"/>
      <c r="E354" s="17"/>
      <c r="F354" s="17"/>
      <c r="G354" s="17"/>
      <c r="H354" s="17"/>
      <c r="I354" s="17"/>
      <c r="J354" s="18"/>
      <c r="K354" s="19"/>
      <c r="L354" s="17"/>
      <c r="M354" s="14"/>
      <c r="N354" s="17"/>
      <c r="O354" s="17"/>
    </row>
    <row r="355" spans="1:15">
      <c r="A355" s="14"/>
      <c r="B355" s="15"/>
      <c r="C355" s="16"/>
      <c r="D355" s="14"/>
      <c r="E355" s="17"/>
      <c r="F355" s="17"/>
      <c r="G355" s="17"/>
      <c r="H355" s="17"/>
      <c r="I355" s="17"/>
      <c r="J355" s="18"/>
      <c r="K355" s="19"/>
      <c r="L355" s="17"/>
      <c r="M355" s="14"/>
      <c r="N355" s="17"/>
      <c r="O355" s="17"/>
    </row>
    <row r="356" spans="1:15">
      <c r="A356" s="14"/>
      <c r="B356" s="15"/>
      <c r="C356" s="16"/>
      <c r="D356" s="14"/>
      <c r="E356" s="17"/>
      <c r="F356" s="17"/>
      <c r="G356" s="17"/>
      <c r="H356" s="17"/>
      <c r="I356" s="17"/>
      <c r="J356" s="18"/>
      <c r="K356" s="19"/>
      <c r="L356" s="17"/>
      <c r="M356" s="14"/>
      <c r="N356" s="17"/>
      <c r="O356" s="17"/>
    </row>
    <row r="357" spans="1:15">
      <c r="A357" s="14"/>
      <c r="B357" s="15"/>
      <c r="C357" s="16"/>
      <c r="D357" s="14"/>
      <c r="E357" s="17"/>
      <c r="F357" s="17"/>
      <c r="G357" s="17"/>
      <c r="H357" s="17"/>
      <c r="I357" s="17"/>
      <c r="J357" s="18"/>
      <c r="K357" s="19"/>
      <c r="L357" s="17"/>
      <c r="M357" s="14"/>
      <c r="N357" s="17"/>
      <c r="O357" s="17"/>
    </row>
    <row r="358" spans="1:15">
      <c r="A358" s="14"/>
      <c r="B358" s="15"/>
      <c r="C358" s="16"/>
      <c r="D358" s="14"/>
      <c r="E358" s="17"/>
      <c r="F358" s="17"/>
      <c r="G358" s="17"/>
      <c r="H358" s="17"/>
      <c r="I358" s="17"/>
      <c r="J358" s="18"/>
      <c r="K358" s="19"/>
      <c r="L358" s="17"/>
      <c r="M358" s="14"/>
      <c r="N358" s="17"/>
      <c r="O358" s="17"/>
    </row>
    <row r="359" spans="1:15">
      <c r="A359" s="14"/>
      <c r="B359" s="15"/>
      <c r="C359" s="16"/>
      <c r="D359" s="14"/>
      <c r="E359" s="17"/>
      <c r="F359" s="17"/>
      <c r="G359" s="17"/>
      <c r="H359" s="17"/>
      <c r="I359" s="17"/>
      <c r="J359" s="18"/>
      <c r="K359" s="19"/>
      <c r="L359" s="17"/>
      <c r="M359" s="14"/>
      <c r="N359" s="17"/>
      <c r="O359" s="17"/>
    </row>
    <row r="360" spans="1:15">
      <c r="A360" s="14"/>
      <c r="B360" s="15"/>
      <c r="C360" s="16"/>
      <c r="D360" s="14"/>
      <c r="E360" s="17"/>
      <c r="F360" s="17"/>
      <c r="G360" s="17"/>
      <c r="H360" s="17"/>
      <c r="I360" s="17"/>
      <c r="J360" s="18"/>
      <c r="K360" s="19"/>
      <c r="L360" s="17"/>
      <c r="M360" s="14"/>
      <c r="N360" s="17"/>
      <c r="O360" s="17"/>
    </row>
    <row r="361" spans="1:15">
      <c r="A361" s="14"/>
      <c r="B361" s="15"/>
      <c r="C361" s="16"/>
      <c r="D361" s="14"/>
      <c r="E361" s="17"/>
      <c r="F361" s="17"/>
      <c r="G361" s="17"/>
      <c r="H361" s="17"/>
      <c r="I361" s="17"/>
      <c r="J361" s="18"/>
      <c r="K361" s="19"/>
      <c r="L361" s="17"/>
      <c r="M361" s="14"/>
      <c r="N361" s="17"/>
      <c r="O361" s="17"/>
    </row>
    <row r="362" spans="1:15">
      <c r="A362" s="14"/>
      <c r="B362" s="15"/>
      <c r="C362" s="16"/>
      <c r="D362" s="14"/>
      <c r="E362" s="17"/>
      <c r="F362" s="17"/>
      <c r="G362" s="17"/>
      <c r="H362" s="17"/>
      <c r="I362" s="17"/>
      <c r="J362" s="18"/>
      <c r="K362" s="19"/>
      <c r="L362" s="17"/>
      <c r="M362" s="14"/>
      <c r="N362" s="17"/>
      <c r="O362" s="17"/>
    </row>
    <row r="363" spans="1:15">
      <c r="A363" s="14"/>
      <c r="B363" s="15"/>
      <c r="C363" s="16"/>
      <c r="D363" s="14"/>
      <c r="E363" s="17"/>
      <c r="F363" s="17"/>
      <c r="G363" s="17"/>
      <c r="H363" s="17"/>
      <c r="I363" s="17"/>
      <c r="J363" s="18"/>
      <c r="K363" s="19"/>
      <c r="L363" s="17"/>
      <c r="M363" s="14"/>
      <c r="N363" s="17"/>
      <c r="O363" s="17"/>
    </row>
    <row r="364" spans="1:15">
      <c r="A364" s="14"/>
      <c r="B364" s="15"/>
      <c r="C364" s="16"/>
      <c r="D364" s="14"/>
      <c r="E364" s="17"/>
      <c r="F364" s="17"/>
      <c r="G364" s="17"/>
      <c r="H364" s="17"/>
      <c r="I364" s="17"/>
      <c r="J364" s="18"/>
      <c r="K364" s="19"/>
      <c r="L364" s="17"/>
      <c r="M364" s="14"/>
      <c r="N364" s="17"/>
      <c r="O364" s="17"/>
    </row>
    <row r="365" spans="1:15">
      <c r="A365" s="14"/>
      <c r="B365" s="15"/>
      <c r="C365" s="16"/>
      <c r="D365" s="14"/>
      <c r="E365" s="17"/>
      <c r="F365" s="17"/>
      <c r="G365" s="17"/>
      <c r="H365" s="17"/>
      <c r="I365" s="17"/>
      <c r="J365" s="18"/>
      <c r="K365" s="19"/>
      <c r="L365" s="17"/>
      <c r="M365" s="14"/>
      <c r="N365" s="17"/>
      <c r="O365" s="17"/>
    </row>
    <row r="366" spans="1:15">
      <c r="A366" s="14"/>
      <c r="B366" s="15"/>
      <c r="C366" s="16"/>
      <c r="D366" s="14"/>
      <c r="E366" s="17"/>
      <c r="F366" s="17"/>
      <c r="G366" s="17"/>
      <c r="H366" s="17"/>
      <c r="I366" s="17"/>
      <c r="J366" s="18"/>
      <c r="K366" s="19"/>
      <c r="L366" s="17"/>
      <c r="M366" s="14"/>
      <c r="N366" s="17"/>
      <c r="O366" s="17"/>
    </row>
    <row r="367" spans="1:15">
      <c r="A367" s="14"/>
      <c r="B367" s="15"/>
      <c r="C367" s="16"/>
      <c r="D367" s="14"/>
      <c r="E367" s="17"/>
      <c r="F367" s="17"/>
      <c r="G367" s="17"/>
      <c r="H367" s="17"/>
      <c r="I367" s="17"/>
      <c r="J367" s="18"/>
      <c r="K367" s="19"/>
      <c r="L367" s="17"/>
      <c r="M367" s="14"/>
      <c r="N367" s="17"/>
      <c r="O367" s="17"/>
    </row>
    <row r="368" spans="1:15">
      <c r="A368" s="14"/>
      <c r="B368" s="15"/>
      <c r="C368" s="16"/>
      <c r="D368" s="14"/>
      <c r="E368" s="17"/>
      <c r="F368" s="17"/>
      <c r="G368" s="17"/>
      <c r="H368" s="17"/>
      <c r="I368" s="17"/>
      <c r="J368" s="18"/>
      <c r="K368" s="19"/>
      <c r="L368" s="17"/>
      <c r="M368" s="14"/>
      <c r="N368" s="17"/>
      <c r="O368" s="17"/>
    </row>
    <row r="369" spans="1:15">
      <c r="A369" s="14"/>
      <c r="B369" s="15"/>
      <c r="C369" s="16"/>
      <c r="D369" s="14"/>
      <c r="E369" s="17"/>
      <c r="F369" s="17"/>
      <c r="G369" s="17"/>
      <c r="H369" s="17"/>
      <c r="I369" s="17"/>
      <c r="J369" s="18"/>
      <c r="K369" s="19"/>
      <c r="L369" s="17"/>
      <c r="M369" s="14"/>
      <c r="N369" s="17"/>
      <c r="O369" s="17"/>
    </row>
    <row r="370" spans="1:15">
      <c r="A370" s="14"/>
      <c r="B370" s="15"/>
      <c r="C370" s="16"/>
      <c r="D370" s="14"/>
      <c r="E370" s="17"/>
      <c r="F370" s="17"/>
      <c r="G370" s="17"/>
      <c r="H370" s="17"/>
      <c r="I370" s="17"/>
      <c r="J370" s="18"/>
      <c r="K370" s="19"/>
      <c r="L370" s="17"/>
      <c r="M370" s="14"/>
      <c r="N370" s="17"/>
      <c r="O370" s="17"/>
    </row>
    <row r="371" spans="1:15">
      <c r="A371" s="14"/>
      <c r="B371" s="15"/>
      <c r="C371" s="16"/>
      <c r="D371" s="14"/>
      <c r="E371" s="17"/>
      <c r="F371" s="17"/>
      <c r="G371" s="17"/>
      <c r="H371" s="17"/>
      <c r="I371" s="17"/>
      <c r="J371" s="18"/>
      <c r="K371" s="19"/>
      <c r="L371" s="17"/>
      <c r="M371" s="14"/>
      <c r="N371" s="17"/>
      <c r="O371" s="17"/>
    </row>
    <row r="372" spans="1:15">
      <c r="A372" s="14"/>
      <c r="B372" s="15"/>
      <c r="C372" s="16"/>
      <c r="D372" s="14"/>
      <c r="E372" s="17"/>
      <c r="F372" s="17"/>
      <c r="G372" s="17"/>
      <c r="H372" s="17"/>
      <c r="I372" s="17"/>
      <c r="J372" s="18"/>
      <c r="K372" s="19"/>
      <c r="L372" s="17"/>
      <c r="M372" s="14"/>
      <c r="N372" s="17"/>
      <c r="O372" s="17"/>
    </row>
    <row r="373" spans="1:15">
      <c r="A373" s="14"/>
      <c r="B373" s="15"/>
      <c r="C373" s="16"/>
      <c r="D373" s="14"/>
      <c r="E373" s="17"/>
      <c r="F373" s="17"/>
      <c r="G373" s="17"/>
      <c r="H373" s="17"/>
      <c r="I373" s="17"/>
      <c r="J373" s="18"/>
      <c r="K373" s="19"/>
      <c r="L373" s="17"/>
      <c r="M373" s="14"/>
      <c r="N373" s="17"/>
      <c r="O373" s="17"/>
    </row>
    <row r="374" spans="1:15">
      <c r="A374" s="14"/>
      <c r="B374" s="15"/>
      <c r="C374" s="16"/>
      <c r="D374" s="14"/>
      <c r="E374" s="17"/>
      <c r="F374" s="17"/>
      <c r="G374" s="17"/>
      <c r="H374" s="17"/>
      <c r="I374" s="17"/>
      <c r="J374" s="18"/>
      <c r="K374" s="19"/>
      <c r="L374" s="17"/>
      <c r="M374" s="14"/>
      <c r="N374" s="17"/>
      <c r="O374" s="17"/>
    </row>
    <row r="375" spans="1:15">
      <c r="A375" s="14"/>
      <c r="B375" s="15"/>
      <c r="C375" s="16"/>
      <c r="D375" s="14"/>
      <c r="E375" s="17"/>
      <c r="F375" s="17"/>
      <c r="G375" s="17"/>
      <c r="H375" s="17"/>
      <c r="I375" s="17"/>
      <c r="J375" s="18"/>
      <c r="K375" s="19"/>
      <c r="L375" s="17"/>
      <c r="M375" s="14"/>
      <c r="N375" s="17"/>
      <c r="O375" s="17"/>
    </row>
    <row r="376" spans="1:15">
      <c r="A376" s="14"/>
      <c r="B376" s="15"/>
      <c r="C376" s="16"/>
      <c r="D376" s="14"/>
      <c r="E376" s="17"/>
      <c r="F376" s="17"/>
      <c r="G376" s="17"/>
      <c r="H376" s="17"/>
      <c r="I376" s="17"/>
      <c r="J376" s="18"/>
      <c r="K376" s="19"/>
      <c r="L376" s="17"/>
      <c r="M376" s="14"/>
      <c r="N376" s="17"/>
      <c r="O376" s="17"/>
    </row>
    <row r="377" spans="1:15">
      <c r="A377" s="14"/>
      <c r="B377" s="15"/>
      <c r="C377" s="16"/>
      <c r="D377" s="14"/>
      <c r="E377" s="17"/>
      <c r="F377" s="17"/>
      <c r="G377" s="17"/>
      <c r="H377" s="17"/>
      <c r="I377" s="17"/>
      <c r="J377" s="18"/>
      <c r="K377" s="19"/>
      <c r="L377" s="17"/>
      <c r="M377" s="14"/>
      <c r="N377" s="17"/>
      <c r="O377" s="17"/>
    </row>
    <row r="378" spans="1:15">
      <c r="A378" s="14"/>
      <c r="B378" s="15"/>
      <c r="C378" s="16"/>
      <c r="D378" s="14"/>
      <c r="E378" s="17"/>
      <c r="F378" s="17"/>
      <c r="G378" s="17"/>
      <c r="H378" s="17"/>
      <c r="I378" s="17"/>
      <c r="J378" s="18"/>
      <c r="K378" s="19"/>
      <c r="L378" s="17"/>
      <c r="M378" s="14"/>
      <c r="N378" s="17"/>
      <c r="O378" s="17"/>
    </row>
    <row r="379" spans="1:15">
      <c r="A379" s="14"/>
      <c r="B379" s="15"/>
      <c r="C379" s="16"/>
      <c r="D379" s="14"/>
      <c r="E379" s="17"/>
      <c r="F379" s="17"/>
      <c r="G379" s="17"/>
      <c r="H379" s="17"/>
      <c r="I379" s="17"/>
      <c r="J379" s="18"/>
      <c r="K379" s="19"/>
      <c r="L379" s="17"/>
      <c r="M379" s="14"/>
      <c r="N379" s="17"/>
      <c r="O379" s="17"/>
    </row>
    <row r="380" spans="1:15">
      <c r="A380" s="14"/>
      <c r="B380" s="15"/>
      <c r="C380" s="16"/>
      <c r="D380" s="14"/>
      <c r="E380" s="17"/>
      <c r="F380" s="17"/>
      <c r="G380" s="17"/>
      <c r="H380" s="17"/>
      <c r="I380" s="17"/>
      <c r="J380" s="18"/>
      <c r="K380" s="19"/>
      <c r="L380" s="17"/>
      <c r="M380" s="14"/>
      <c r="N380" s="17"/>
      <c r="O380" s="17"/>
    </row>
    <row r="381" spans="1:15">
      <c r="A381" s="14"/>
      <c r="B381" s="15"/>
      <c r="C381" s="16"/>
      <c r="D381" s="14"/>
      <c r="E381" s="17"/>
      <c r="F381" s="17"/>
      <c r="G381" s="17"/>
      <c r="H381" s="17"/>
      <c r="I381" s="17"/>
      <c r="J381" s="18"/>
      <c r="K381" s="19"/>
      <c r="L381" s="17"/>
      <c r="M381" s="14"/>
      <c r="N381" s="17"/>
      <c r="O381" s="17"/>
    </row>
    <row r="382" spans="1:15">
      <c r="A382" s="14"/>
      <c r="B382" s="15"/>
      <c r="C382" s="16"/>
      <c r="D382" s="14"/>
      <c r="E382" s="17"/>
      <c r="F382" s="17"/>
      <c r="G382" s="17"/>
      <c r="H382" s="17"/>
      <c r="I382" s="17"/>
      <c r="J382" s="18"/>
      <c r="K382" s="19"/>
      <c r="L382" s="17"/>
      <c r="M382" s="14"/>
      <c r="N382" s="17"/>
      <c r="O382" s="17"/>
    </row>
    <row r="383" spans="1:15">
      <c r="A383" s="14"/>
      <c r="B383" s="15"/>
      <c r="C383" s="16"/>
      <c r="D383" s="14"/>
      <c r="E383" s="17"/>
      <c r="F383" s="17"/>
      <c r="G383" s="17"/>
      <c r="H383" s="17"/>
      <c r="I383" s="17"/>
      <c r="J383" s="18"/>
      <c r="K383" s="19"/>
      <c r="L383" s="17"/>
      <c r="M383" s="14"/>
      <c r="N383" s="17"/>
      <c r="O383" s="17"/>
    </row>
    <row r="384" spans="1:15">
      <c r="A384" s="14"/>
      <c r="B384" s="15"/>
      <c r="C384" s="16"/>
      <c r="D384" s="14"/>
      <c r="E384" s="17"/>
      <c r="F384" s="17"/>
      <c r="G384" s="17"/>
      <c r="H384" s="17"/>
      <c r="I384" s="17"/>
      <c r="J384" s="18"/>
      <c r="K384" s="19"/>
      <c r="L384" s="17"/>
      <c r="M384" s="14"/>
      <c r="N384" s="17"/>
      <c r="O384" s="17"/>
    </row>
    <row r="385" spans="1:15">
      <c r="A385" s="14"/>
      <c r="B385" s="15"/>
      <c r="C385" s="16"/>
      <c r="D385" s="14"/>
      <c r="E385" s="17"/>
      <c r="F385" s="17"/>
      <c r="G385" s="17"/>
      <c r="H385" s="17"/>
      <c r="I385" s="17"/>
      <c r="J385" s="18"/>
      <c r="K385" s="19"/>
      <c r="L385" s="17"/>
      <c r="M385" s="14"/>
      <c r="N385" s="17"/>
      <c r="O385" s="17"/>
    </row>
    <row r="386" spans="1:15">
      <c r="A386" s="14"/>
      <c r="B386" s="15"/>
      <c r="C386" s="16"/>
      <c r="D386" s="14"/>
      <c r="E386" s="17"/>
      <c r="F386" s="17"/>
      <c r="G386" s="17"/>
      <c r="H386" s="17"/>
      <c r="I386" s="17"/>
      <c r="J386" s="18"/>
      <c r="K386" s="19"/>
      <c r="L386" s="17"/>
      <c r="M386" s="14"/>
      <c r="N386" s="17"/>
      <c r="O386" s="17"/>
    </row>
    <row r="387" spans="1:15">
      <c r="A387" s="14"/>
      <c r="B387" s="15"/>
      <c r="C387" s="16"/>
      <c r="D387" s="14"/>
      <c r="E387" s="17"/>
      <c r="F387" s="17"/>
      <c r="G387" s="17"/>
      <c r="H387" s="17"/>
      <c r="I387" s="17"/>
      <c r="J387" s="18"/>
      <c r="K387" s="19"/>
      <c r="L387" s="17"/>
      <c r="M387" s="14"/>
      <c r="N387" s="17"/>
      <c r="O387" s="17"/>
    </row>
    <row r="388" spans="1:15">
      <c r="A388" s="14"/>
      <c r="B388" s="15"/>
      <c r="C388" s="16"/>
      <c r="D388" s="14"/>
      <c r="E388" s="17"/>
      <c r="F388" s="17"/>
      <c r="G388" s="17"/>
      <c r="H388" s="17"/>
      <c r="I388" s="17"/>
      <c r="J388" s="18"/>
      <c r="K388" s="19"/>
      <c r="L388" s="17"/>
      <c r="M388" s="14"/>
      <c r="N388" s="17"/>
      <c r="O388" s="17"/>
    </row>
    <row r="389" spans="1:15">
      <c r="A389" s="14"/>
      <c r="B389" s="15"/>
      <c r="C389" s="16"/>
      <c r="D389" s="14"/>
      <c r="E389" s="17"/>
      <c r="F389" s="17"/>
      <c r="G389" s="17"/>
      <c r="H389" s="17"/>
      <c r="I389" s="17"/>
      <c r="J389" s="18"/>
      <c r="K389" s="19"/>
      <c r="L389" s="17"/>
      <c r="M389" s="14"/>
      <c r="N389" s="17"/>
      <c r="O389" s="17"/>
    </row>
    <row r="390" spans="1:15">
      <c r="A390" s="14"/>
      <c r="B390" s="15"/>
      <c r="C390" s="16"/>
      <c r="D390" s="14"/>
      <c r="E390" s="17"/>
      <c r="F390" s="17"/>
      <c r="G390" s="17"/>
      <c r="H390" s="17"/>
      <c r="I390" s="17"/>
      <c r="J390" s="18"/>
      <c r="K390" s="19"/>
      <c r="L390" s="17"/>
      <c r="M390" s="14"/>
      <c r="N390" s="17"/>
      <c r="O390" s="17"/>
    </row>
    <row r="391" spans="1:15">
      <c r="A391" s="14"/>
      <c r="B391" s="15"/>
      <c r="C391" s="16"/>
      <c r="D391" s="14"/>
      <c r="E391" s="17"/>
      <c r="F391" s="17"/>
      <c r="G391" s="17"/>
      <c r="H391" s="17"/>
      <c r="I391" s="17"/>
      <c r="J391" s="18"/>
      <c r="K391" s="19"/>
      <c r="L391" s="17"/>
      <c r="M391" s="14"/>
      <c r="N391" s="17"/>
      <c r="O391" s="17"/>
    </row>
    <row r="392" spans="1:15">
      <c r="A392" s="14"/>
      <c r="B392" s="15"/>
      <c r="C392" s="16"/>
      <c r="D392" s="14"/>
      <c r="E392" s="17"/>
      <c r="F392" s="17"/>
      <c r="G392" s="17"/>
      <c r="H392" s="17"/>
      <c r="I392" s="17"/>
      <c r="J392" s="18"/>
      <c r="K392" s="19"/>
      <c r="L392" s="17"/>
      <c r="M392" s="14"/>
      <c r="N392" s="17"/>
      <c r="O392" s="17"/>
    </row>
    <row r="393" spans="1:15">
      <c r="A393" s="14"/>
      <c r="B393" s="15"/>
      <c r="C393" s="16"/>
      <c r="D393" s="14"/>
      <c r="E393" s="17"/>
      <c r="F393" s="17"/>
      <c r="G393" s="17"/>
      <c r="H393" s="17"/>
      <c r="I393" s="17"/>
      <c r="J393" s="18"/>
      <c r="K393" s="19"/>
      <c r="L393" s="17"/>
      <c r="M393" s="14"/>
      <c r="N393" s="17"/>
      <c r="O393" s="17"/>
    </row>
    <row r="394" spans="1:15">
      <c r="A394" s="14"/>
      <c r="B394" s="15"/>
      <c r="C394" s="16"/>
      <c r="D394" s="14"/>
      <c r="E394" s="17"/>
      <c r="F394" s="17"/>
      <c r="G394" s="17"/>
      <c r="H394" s="17"/>
      <c r="I394" s="17"/>
      <c r="J394" s="18"/>
      <c r="K394" s="19"/>
      <c r="L394" s="17"/>
      <c r="M394" s="14"/>
      <c r="N394" s="17"/>
      <c r="O394" s="17"/>
    </row>
    <row r="395" spans="1:15">
      <c r="A395" s="14"/>
      <c r="B395" s="15"/>
      <c r="C395" s="16"/>
      <c r="D395" s="14"/>
      <c r="E395" s="17"/>
      <c r="F395" s="17"/>
      <c r="G395" s="17"/>
      <c r="H395" s="17"/>
      <c r="I395" s="17"/>
      <c r="J395" s="18"/>
      <c r="K395" s="19"/>
      <c r="L395" s="17"/>
      <c r="M395" s="14"/>
      <c r="N395" s="17"/>
      <c r="O395" s="17"/>
    </row>
    <row r="396" spans="1:15">
      <c r="A396" s="14"/>
      <c r="B396" s="15"/>
      <c r="C396" s="16"/>
      <c r="D396" s="14"/>
      <c r="E396" s="17"/>
      <c r="F396" s="17"/>
      <c r="G396" s="17"/>
      <c r="H396" s="17"/>
      <c r="I396" s="17"/>
      <c r="J396" s="18"/>
      <c r="K396" s="19"/>
      <c r="L396" s="17"/>
      <c r="M396" s="14"/>
      <c r="N396" s="17"/>
      <c r="O396" s="17"/>
    </row>
    <row r="397" spans="1:15">
      <c r="A397" s="14"/>
      <c r="B397" s="15"/>
      <c r="C397" s="16"/>
      <c r="D397" s="14"/>
      <c r="E397" s="17"/>
      <c r="F397" s="17"/>
      <c r="G397" s="17"/>
      <c r="H397" s="17"/>
      <c r="I397" s="17"/>
      <c r="J397" s="18"/>
      <c r="K397" s="19"/>
      <c r="L397" s="17"/>
      <c r="M397" s="14"/>
      <c r="N397" s="17"/>
      <c r="O397" s="17"/>
    </row>
    <row r="398" spans="1:15">
      <c r="A398" s="14"/>
      <c r="B398" s="15"/>
      <c r="C398" s="16"/>
      <c r="D398" s="14"/>
      <c r="E398" s="17"/>
      <c r="F398" s="17"/>
      <c r="G398" s="17"/>
      <c r="H398" s="17"/>
      <c r="I398" s="17"/>
      <c r="J398" s="18"/>
      <c r="K398" s="19"/>
      <c r="L398" s="17"/>
      <c r="M398" s="14"/>
      <c r="N398" s="17"/>
      <c r="O398" s="17"/>
    </row>
    <row r="399" spans="1:15">
      <c r="A399" s="14"/>
      <c r="B399" s="15"/>
      <c r="C399" s="16"/>
      <c r="D399" s="14"/>
      <c r="E399" s="17"/>
      <c r="F399" s="17"/>
      <c r="G399" s="17"/>
      <c r="H399" s="17"/>
      <c r="I399" s="17"/>
      <c r="J399" s="18"/>
      <c r="K399" s="19"/>
      <c r="L399" s="17"/>
      <c r="M399" s="14"/>
      <c r="N399" s="17"/>
      <c r="O399" s="17"/>
    </row>
    <row r="400" spans="1:15">
      <c r="A400" s="14"/>
      <c r="B400" s="15"/>
      <c r="C400" s="16"/>
      <c r="D400" s="14"/>
      <c r="E400" s="17"/>
      <c r="F400" s="17"/>
      <c r="G400" s="17"/>
      <c r="H400" s="17"/>
      <c r="I400" s="17"/>
      <c r="J400" s="18"/>
      <c r="K400" s="19"/>
      <c r="L400" s="17"/>
      <c r="M400" s="14"/>
      <c r="N400" s="17"/>
      <c r="O400" s="17"/>
    </row>
    <row r="401" spans="1:15">
      <c r="A401" s="14"/>
      <c r="B401" s="15"/>
      <c r="C401" s="16"/>
      <c r="D401" s="14"/>
      <c r="E401" s="17"/>
      <c r="F401" s="17"/>
      <c r="G401" s="17"/>
      <c r="H401" s="17"/>
      <c r="I401" s="17"/>
      <c r="J401" s="18"/>
      <c r="K401" s="19"/>
      <c r="L401" s="17"/>
      <c r="M401" s="14"/>
      <c r="N401" s="17"/>
      <c r="O401" s="17"/>
    </row>
    <row r="402" spans="1:15">
      <c r="A402" s="14"/>
      <c r="B402" s="15"/>
      <c r="C402" s="16"/>
      <c r="D402" s="14"/>
      <c r="E402" s="17"/>
      <c r="F402" s="17"/>
      <c r="G402" s="17"/>
      <c r="H402" s="17"/>
      <c r="I402" s="17"/>
      <c r="J402" s="18"/>
      <c r="K402" s="19"/>
      <c r="L402" s="17"/>
      <c r="M402" s="14"/>
      <c r="N402" s="17"/>
      <c r="O402" s="17"/>
    </row>
    <row r="403" spans="1:15">
      <c r="A403" s="14"/>
      <c r="B403" s="15"/>
      <c r="C403" s="16"/>
      <c r="D403" s="14"/>
      <c r="E403" s="17"/>
      <c r="F403" s="17"/>
      <c r="G403" s="17"/>
      <c r="H403" s="17"/>
      <c r="I403" s="17"/>
      <c r="J403" s="18"/>
      <c r="K403" s="19"/>
      <c r="L403" s="17"/>
      <c r="M403" s="14"/>
      <c r="N403" s="17"/>
      <c r="O403" s="17"/>
    </row>
    <row r="404" spans="1:15">
      <c r="A404" s="14"/>
      <c r="B404" s="15"/>
      <c r="C404" s="16"/>
      <c r="D404" s="14"/>
      <c r="E404" s="17"/>
      <c r="F404" s="17"/>
      <c r="G404" s="17"/>
      <c r="H404" s="17"/>
      <c r="I404" s="17"/>
      <c r="J404" s="18"/>
      <c r="K404" s="19"/>
      <c r="L404" s="17"/>
      <c r="M404" s="14"/>
      <c r="N404" s="17"/>
      <c r="O404" s="17"/>
    </row>
    <row r="405" spans="1:15">
      <c r="A405" s="14"/>
      <c r="B405" s="15"/>
      <c r="C405" s="16"/>
      <c r="D405" s="14"/>
      <c r="E405" s="17"/>
      <c r="F405" s="17"/>
      <c r="G405" s="17"/>
      <c r="H405" s="17"/>
      <c r="I405" s="17"/>
      <c r="J405" s="18"/>
      <c r="K405" s="19"/>
      <c r="L405" s="17"/>
      <c r="M405" s="14"/>
      <c r="N405" s="17"/>
      <c r="O405" s="17"/>
    </row>
    <row r="406" spans="1:15">
      <c r="A406" s="14"/>
      <c r="B406" s="15"/>
      <c r="C406" s="16"/>
      <c r="D406" s="14"/>
      <c r="E406" s="17"/>
      <c r="F406" s="17"/>
      <c r="G406" s="17"/>
      <c r="H406" s="17"/>
      <c r="I406" s="17"/>
      <c r="J406" s="18"/>
      <c r="K406" s="19"/>
      <c r="L406" s="17"/>
      <c r="M406" s="14"/>
      <c r="N406" s="17"/>
      <c r="O406" s="17"/>
    </row>
    <row r="407" spans="1:15">
      <c r="A407" s="14"/>
      <c r="B407" s="15"/>
      <c r="C407" s="16"/>
      <c r="D407" s="14"/>
      <c r="E407" s="17"/>
      <c r="F407" s="17"/>
      <c r="G407" s="17"/>
      <c r="H407" s="17"/>
      <c r="I407" s="17"/>
      <c r="J407" s="18"/>
      <c r="K407" s="19"/>
      <c r="L407" s="17"/>
      <c r="M407" s="14"/>
      <c r="N407" s="17"/>
      <c r="O407" s="17"/>
    </row>
    <row r="408" spans="1:15">
      <c r="A408" s="14"/>
      <c r="B408" s="15"/>
      <c r="C408" s="16"/>
      <c r="D408" s="14"/>
      <c r="E408" s="17"/>
      <c r="F408" s="17"/>
      <c r="G408" s="17"/>
      <c r="H408" s="17"/>
      <c r="I408" s="17"/>
      <c r="J408" s="18"/>
      <c r="K408" s="19"/>
      <c r="L408" s="17"/>
      <c r="M408" s="14"/>
      <c r="N408" s="17"/>
      <c r="O408" s="17"/>
    </row>
    <row r="409" spans="1:15">
      <c r="A409" s="14"/>
      <c r="B409" s="15"/>
      <c r="C409" s="16"/>
      <c r="D409" s="14"/>
      <c r="E409" s="17"/>
      <c r="F409" s="17"/>
      <c r="G409" s="17"/>
      <c r="H409" s="17"/>
      <c r="I409" s="17"/>
      <c r="J409" s="18"/>
      <c r="K409" s="19"/>
      <c r="L409" s="17"/>
      <c r="M409" s="14"/>
      <c r="N409" s="17"/>
      <c r="O409" s="17"/>
    </row>
    <row r="410" spans="1:15">
      <c r="A410" s="14"/>
      <c r="B410" s="15"/>
      <c r="C410" s="16"/>
      <c r="D410" s="14"/>
      <c r="E410" s="17"/>
      <c r="F410" s="17"/>
      <c r="G410" s="17"/>
      <c r="H410" s="17"/>
      <c r="I410" s="17"/>
      <c r="J410" s="18"/>
      <c r="K410" s="19"/>
      <c r="L410" s="17"/>
      <c r="M410" s="14"/>
      <c r="N410" s="17"/>
      <c r="O410" s="17"/>
    </row>
    <row r="411" spans="1:15">
      <c r="A411" s="14"/>
      <c r="B411" s="15"/>
      <c r="C411" s="16"/>
      <c r="D411" s="14"/>
      <c r="E411" s="17"/>
      <c r="F411" s="17"/>
      <c r="G411" s="17"/>
      <c r="H411" s="17"/>
      <c r="I411" s="17"/>
      <c r="J411" s="18"/>
      <c r="K411" s="19"/>
      <c r="L411" s="17"/>
      <c r="M411" s="14"/>
      <c r="N411" s="17"/>
      <c r="O411" s="17"/>
    </row>
    <row r="412" spans="1:15">
      <c r="A412" s="14"/>
      <c r="B412" s="15"/>
      <c r="C412" s="16"/>
      <c r="D412" s="14"/>
      <c r="E412" s="17"/>
      <c r="F412" s="17"/>
      <c r="G412" s="17"/>
      <c r="H412" s="17"/>
      <c r="I412" s="17"/>
      <c r="J412" s="18"/>
      <c r="K412" s="19"/>
      <c r="L412" s="17"/>
      <c r="M412" s="14"/>
      <c r="N412" s="17"/>
      <c r="O412" s="17"/>
    </row>
    <row r="413" spans="1:15">
      <c r="A413" s="14"/>
      <c r="B413" s="15"/>
      <c r="C413" s="16"/>
      <c r="D413" s="14"/>
      <c r="E413" s="17"/>
      <c r="F413" s="17"/>
      <c r="G413" s="17"/>
      <c r="H413" s="17"/>
      <c r="I413" s="17"/>
      <c r="J413" s="18"/>
      <c r="K413" s="19"/>
      <c r="L413" s="17"/>
      <c r="M413" s="14"/>
      <c r="N413" s="17"/>
      <c r="O413" s="17"/>
    </row>
    <row r="414" spans="1:15">
      <c r="A414" s="14"/>
      <c r="B414" s="15"/>
      <c r="C414" s="16"/>
      <c r="D414" s="14"/>
      <c r="E414" s="17"/>
      <c r="F414" s="17"/>
      <c r="G414" s="17"/>
      <c r="H414" s="17"/>
      <c r="I414" s="17"/>
      <c r="J414" s="18"/>
      <c r="K414" s="19"/>
      <c r="L414" s="17"/>
      <c r="M414" s="14"/>
      <c r="N414" s="17"/>
      <c r="O414" s="17"/>
    </row>
    <row r="415" spans="1:15">
      <c r="A415" s="14"/>
      <c r="B415" s="15"/>
      <c r="C415" s="16"/>
      <c r="D415" s="14"/>
      <c r="E415" s="17"/>
      <c r="F415" s="17"/>
      <c r="G415" s="17"/>
      <c r="H415" s="17"/>
      <c r="I415" s="17"/>
      <c r="J415" s="18"/>
      <c r="K415" s="19"/>
      <c r="L415" s="17"/>
      <c r="M415" s="14"/>
      <c r="N415" s="17"/>
      <c r="O415" s="17"/>
    </row>
    <row r="416" spans="1:15">
      <c r="A416" s="14"/>
      <c r="B416" s="15"/>
      <c r="C416" s="16"/>
      <c r="D416" s="14"/>
      <c r="E416" s="17"/>
      <c r="F416" s="17"/>
      <c r="G416" s="17"/>
      <c r="H416" s="17"/>
      <c r="I416" s="17"/>
      <c r="J416" s="18"/>
      <c r="K416" s="19"/>
      <c r="L416" s="17"/>
      <c r="M416" s="14"/>
      <c r="N416" s="17"/>
      <c r="O416" s="17"/>
    </row>
    <row r="417" spans="1:15">
      <c r="A417" s="14"/>
      <c r="B417" s="15"/>
      <c r="C417" s="16"/>
      <c r="D417" s="14"/>
      <c r="E417" s="17"/>
      <c r="F417" s="17"/>
      <c r="G417" s="17"/>
      <c r="H417" s="17"/>
      <c r="I417" s="17"/>
      <c r="J417" s="18"/>
      <c r="K417" s="19"/>
      <c r="L417" s="17"/>
      <c r="M417" s="14"/>
      <c r="N417" s="17"/>
      <c r="O417" s="17"/>
    </row>
    <row r="418" spans="1:15">
      <c r="A418" s="14"/>
      <c r="B418" s="15"/>
      <c r="C418" s="16"/>
      <c r="D418" s="14"/>
      <c r="E418" s="17"/>
      <c r="F418" s="17"/>
      <c r="G418" s="17"/>
      <c r="H418" s="17"/>
      <c r="I418" s="17"/>
      <c r="J418" s="18"/>
      <c r="K418" s="19"/>
      <c r="L418" s="17"/>
      <c r="M418" s="14"/>
      <c r="N418" s="17"/>
      <c r="O418" s="17"/>
    </row>
    <row r="419" spans="1:15">
      <c r="A419" s="14"/>
      <c r="B419" s="15"/>
      <c r="C419" s="16"/>
      <c r="D419" s="14"/>
      <c r="E419" s="17"/>
      <c r="F419" s="17"/>
      <c r="G419" s="17"/>
      <c r="H419" s="17"/>
      <c r="I419" s="17"/>
      <c r="J419" s="18"/>
      <c r="K419" s="19"/>
      <c r="L419" s="17"/>
      <c r="M419" s="14"/>
      <c r="N419" s="17"/>
      <c r="O419" s="17"/>
    </row>
    <row r="420" spans="1:15">
      <c r="A420" s="14"/>
      <c r="B420" s="15"/>
      <c r="C420" s="16"/>
      <c r="D420" s="14"/>
      <c r="E420" s="17"/>
      <c r="F420" s="17"/>
      <c r="G420" s="17"/>
      <c r="H420" s="17"/>
      <c r="I420" s="17"/>
      <c r="J420" s="18"/>
      <c r="K420" s="19"/>
      <c r="L420" s="17"/>
      <c r="M420" s="14"/>
      <c r="N420" s="17"/>
      <c r="O420" s="17"/>
    </row>
    <row r="421" spans="1:15">
      <c r="A421" s="14"/>
      <c r="B421" s="15"/>
      <c r="C421" s="16"/>
      <c r="D421" s="14"/>
      <c r="E421" s="17"/>
      <c r="F421" s="17"/>
      <c r="G421" s="17"/>
      <c r="H421" s="17"/>
      <c r="I421" s="17"/>
      <c r="J421" s="18"/>
      <c r="K421" s="19"/>
      <c r="L421" s="17"/>
      <c r="M421" s="14"/>
      <c r="N421" s="17"/>
      <c r="O421" s="17"/>
    </row>
    <row r="422" spans="1:15">
      <c r="A422" s="14"/>
      <c r="B422" s="15"/>
      <c r="C422" s="16"/>
      <c r="D422" s="14"/>
      <c r="E422" s="17"/>
      <c r="F422" s="17"/>
      <c r="G422" s="17"/>
      <c r="H422" s="17"/>
      <c r="I422" s="17"/>
      <c r="J422" s="18"/>
      <c r="K422" s="19"/>
      <c r="L422" s="17"/>
      <c r="M422" s="14"/>
      <c r="N422" s="17"/>
      <c r="O422" s="17"/>
    </row>
    <row r="423" spans="1:15">
      <c r="A423" s="14"/>
      <c r="B423" s="15"/>
      <c r="C423" s="16"/>
      <c r="D423" s="14"/>
      <c r="E423" s="17"/>
      <c r="F423" s="17"/>
      <c r="G423" s="17"/>
      <c r="H423" s="17"/>
      <c r="I423" s="17"/>
      <c r="J423" s="18"/>
      <c r="K423" s="19"/>
      <c r="L423" s="17"/>
      <c r="M423" s="14"/>
      <c r="N423" s="17"/>
      <c r="O423" s="17"/>
    </row>
    <row r="424" spans="1:15">
      <c r="A424" s="14"/>
      <c r="B424" s="15"/>
      <c r="C424" s="16"/>
      <c r="D424" s="14"/>
      <c r="E424" s="17"/>
      <c r="F424" s="17"/>
      <c r="G424" s="17"/>
      <c r="H424" s="17"/>
      <c r="I424" s="17"/>
      <c r="J424" s="18"/>
      <c r="K424" s="19"/>
      <c r="L424" s="17"/>
      <c r="M424" s="14"/>
      <c r="N424" s="17"/>
      <c r="O424" s="17"/>
    </row>
    <row r="425" spans="1:15">
      <c r="A425" s="14"/>
      <c r="B425" s="15"/>
      <c r="C425" s="16"/>
      <c r="D425" s="14"/>
      <c r="E425" s="17"/>
      <c r="F425" s="17"/>
      <c r="G425" s="17"/>
      <c r="H425" s="17"/>
      <c r="I425" s="17"/>
      <c r="J425" s="18"/>
      <c r="K425" s="19"/>
      <c r="L425" s="17"/>
      <c r="M425" s="14"/>
      <c r="N425" s="17"/>
      <c r="O425" s="17"/>
    </row>
    <row r="426" spans="1:15">
      <c r="A426" s="14"/>
      <c r="B426" s="15"/>
      <c r="C426" s="16"/>
      <c r="D426" s="14"/>
      <c r="E426" s="17"/>
      <c r="F426" s="17"/>
      <c r="G426" s="17"/>
      <c r="H426" s="17"/>
      <c r="I426" s="17"/>
      <c r="J426" s="18"/>
      <c r="K426" s="19"/>
      <c r="L426" s="17"/>
      <c r="M426" s="14"/>
      <c r="N426" s="17"/>
      <c r="O426" s="17"/>
    </row>
    <row r="427" spans="1:15">
      <c r="A427" s="14"/>
      <c r="B427" s="15"/>
      <c r="C427" s="16"/>
      <c r="D427" s="14"/>
      <c r="E427" s="17"/>
      <c r="F427" s="17"/>
      <c r="G427" s="17"/>
      <c r="H427" s="17"/>
      <c r="I427" s="17"/>
      <c r="J427" s="18"/>
      <c r="K427" s="19"/>
      <c r="L427" s="17"/>
      <c r="M427" s="14"/>
      <c r="N427" s="17"/>
      <c r="O427" s="17"/>
    </row>
    <row r="428" spans="1:15">
      <c r="A428" s="14"/>
      <c r="B428" s="15"/>
      <c r="C428" s="16"/>
      <c r="D428" s="14"/>
      <c r="E428" s="17"/>
      <c r="F428" s="17"/>
      <c r="G428" s="17"/>
      <c r="H428" s="17"/>
      <c r="I428" s="17"/>
      <c r="J428" s="18"/>
      <c r="K428" s="19"/>
      <c r="L428" s="17"/>
      <c r="M428" s="14"/>
      <c r="N428" s="17"/>
      <c r="O428" s="17"/>
    </row>
    <row r="429" spans="1:15">
      <c r="A429" s="14"/>
      <c r="B429" s="15"/>
      <c r="C429" s="16"/>
      <c r="D429" s="14"/>
      <c r="E429" s="17"/>
      <c r="F429" s="17"/>
      <c r="G429" s="17"/>
      <c r="H429" s="17"/>
      <c r="I429" s="17"/>
      <c r="J429" s="18"/>
      <c r="K429" s="19"/>
      <c r="L429" s="17"/>
      <c r="M429" s="14"/>
      <c r="N429" s="17"/>
      <c r="O429" s="17"/>
    </row>
    <row r="430" spans="1:15">
      <c r="A430" s="14"/>
      <c r="B430" s="15"/>
      <c r="C430" s="16"/>
      <c r="D430" s="14"/>
      <c r="E430" s="17"/>
      <c r="F430" s="17"/>
      <c r="G430" s="17"/>
      <c r="H430" s="17"/>
      <c r="I430" s="17"/>
      <c r="J430" s="18"/>
      <c r="K430" s="19"/>
      <c r="L430" s="17"/>
      <c r="M430" s="14"/>
      <c r="N430" s="17"/>
      <c r="O430" s="17"/>
    </row>
    <row r="431" spans="1:15">
      <c r="A431" s="14"/>
      <c r="B431" s="15"/>
      <c r="C431" s="16"/>
      <c r="D431" s="14"/>
      <c r="E431" s="17"/>
      <c r="F431" s="17"/>
      <c r="G431" s="17"/>
      <c r="H431" s="17"/>
      <c r="I431" s="17"/>
      <c r="J431" s="18"/>
      <c r="K431" s="19"/>
      <c r="L431" s="17"/>
      <c r="M431" s="14"/>
      <c r="N431" s="17"/>
      <c r="O431" s="17"/>
    </row>
    <row r="432" spans="1:15">
      <c r="A432" s="14"/>
      <c r="B432" s="15"/>
      <c r="C432" s="16"/>
      <c r="D432" s="14"/>
      <c r="E432" s="17"/>
      <c r="F432" s="17"/>
      <c r="G432" s="17"/>
      <c r="H432" s="17"/>
      <c r="I432" s="17"/>
      <c r="J432" s="18"/>
      <c r="K432" s="19"/>
      <c r="L432" s="17"/>
      <c r="M432" s="14"/>
      <c r="N432" s="17"/>
      <c r="O432" s="17"/>
    </row>
    <row r="433" spans="1:15">
      <c r="A433" s="14"/>
      <c r="B433" s="15"/>
      <c r="C433" s="16"/>
      <c r="D433" s="14"/>
      <c r="E433" s="17"/>
      <c r="F433" s="17"/>
      <c r="G433" s="17"/>
      <c r="H433" s="17"/>
      <c r="I433" s="17"/>
      <c r="J433" s="18"/>
      <c r="K433" s="19"/>
      <c r="L433" s="17"/>
      <c r="M433" s="14"/>
      <c r="N433" s="17"/>
      <c r="O433" s="17"/>
    </row>
    <row r="434" spans="1:15">
      <c r="A434" s="14"/>
      <c r="B434" s="15"/>
      <c r="C434" s="16"/>
      <c r="D434" s="14"/>
      <c r="E434" s="17"/>
      <c r="F434" s="17"/>
      <c r="G434" s="17"/>
      <c r="H434" s="17"/>
      <c r="I434" s="17"/>
      <c r="J434" s="18"/>
      <c r="K434" s="19"/>
      <c r="L434" s="17"/>
      <c r="M434" s="14"/>
      <c r="N434" s="17"/>
      <c r="O434" s="17"/>
    </row>
    <row r="435" spans="1:15">
      <c r="A435" s="14"/>
      <c r="B435" s="15"/>
      <c r="C435" s="16"/>
      <c r="D435" s="14"/>
      <c r="E435" s="17"/>
      <c r="F435" s="17"/>
      <c r="G435" s="17"/>
      <c r="H435" s="17"/>
      <c r="I435" s="17"/>
      <c r="J435" s="18"/>
      <c r="K435" s="19"/>
      <c r="L435" s="17"/>
      <c r="M435" s="14"/>
      <c r="N435" s="17"/>
      <c r="O435" s="17"/>
    </row>
    <row r="436" spans="1:15">
      <c r="A436" s="14"/>
      <c r="B436" s="15"/>
      <c r="C436" s="16"/>
      <c r="D436" s="14"/>
      <c r="E436" s="17"/>
      <c r="F436" s="17"/>
      <c r="G436" s="17"/>
      <c r="H436" s="17"/>
      <c r="I436" s="17"/>
      <c r="J436" s="18"/>
      <c r="K436" s="19"/>
      <c r="L436" s="17"/>
      <c r="M436" s="14"/>
      <c r="N436" s="17"/>
      <c r="O436" s="17"/>
    </row>
    <row r="437" spans="1:15">
      <c r="A437" s="14"/>
      <c r="B437" s="15"/>
      <c r="C437" s="16"/>
      <c r="D437" s="14"/>
      <c r="E437" s="17"/>
      <c r="F437" s="17"/>
      <c r="G437" s="17"/>
      <c r="H437" s="17"/>
      <c r="I437" s="17"/>
      <c r="J437" s="18"/>
      <c r="K437" s="19"/>
      <c r="L437" s="17"/>
      <c r="M437" s="14"/>
      <c r="N437" s="17"/>
      <c r="O437" s="17"/>
    </row>
    <row r="438" spans="1:15">
      <c r="A438" s="14"/>
      <c r="B438" s="15"/>
      <c r="C438" s="16"/>
      <c r="D438" s="14"/>
      <c r="E438" s="17"/>
      <c r="F438" s="17"/>
      <c r="G438" s="17"/>
      <c r="H438" s="17"/>
      <c r="I438" s="17"/>
      <c r="J438" s="18"/>
      <c r="K438" s="19"/>
      <c r="L438" s="17"/>
      <c r="M438" s="14"/>
      <c r="N438" s="17"/>
      <c r="O438" s="17"/>
    </row>
    <row r="439" spans="1:15">
      <c r="A439" s="14"/>
      <c r="B439" s="15"/>
      <c r="C439" s="16"/>
      <c r="D439" s="14"/>
      <c r="E439" s="17"/>
      <c r="F439" s="17"/>
      <c r="G439" s="17"/>
      <c r="H439" s="17"/>
      <c r="I439" s="17"/>
      <c r="J439" s="18"/>
      <c r="K439" s="19"/>
      <c r="L439" s="17"/>
      <c r="M439" s="14"/>
      <c r="N439" s="17"/>
      <c r="O439" s="17"/>
    </row>
    <row r="440" spans="1:15">
      <c r="A440" s="14"/>
      <c r="B440" s="15"/>
      <c r="C440" s="16"/>
      <c r="D440" s="14"/>
      <c r="E440" s="17"/>
      <c r="F440" s="17"/>
      <c r="G440" s="17"/>
      <c r="H440" s="17"/>
      <c r="I440" s="17"/>
      <c r="J440" s="18"/>
      <c r="K440" s="19"/>
      <c r="L440" s="17"/>
      <c r="M440" s="14"/>
      <c r="N440" s="17"/>
      <c r="O440" s="17"/>
    </row>
    <row r="441" spans="1:15">
      <c r="A441" s="14"/>
      <c r="B441" s="15"/>
      <c r="C441" s="16"/>
      <c r="D441" s="14"/>
      <c r="E441" s="17"/>
      <c r="F441" s="17"/>
      <c r="G441" s="17"/>
      <c r="H441" s="17"/>
      <c r="I441" s="17"/>
      <c r="J441" s="18"/>
      <c r="K441" s="19"/>
      <c r="L441" s="17"/>
      <c r="M441" s="14"/>
      <c r="N441" s="17"/>
      <c r="O441" s="17"/>
    </row>
    <row r="442" spans="1:15">
      <c r="A442" s="14"/>
      <c r="B442" s="15"/>
      <c r="C442" s="16"/>
      <c r="D442" s="14"/>
      <c r="E442" s="17"/>
      <c r="F442" s="17"/>
      <c r="G442" s="17"/>
      <c r="H442" s="17"/>
      <c r="I442" s="17"/>
      <c r="J442" s="18"/>
      <c r="K442" s="19"/>
      <c r="L442" s="17"/>
      <c r="M442" s="14"/>
      <c r="N442" s="17"/>
      <c r="O442" s="17"/>
    </row>
    <row r="443" spans="1:15">
      <c r="A443" s="14"/>
      <c r="B443" s="15"/>
      <c r="C443" s="16"/>
      <c r="D443" s="14"/>
      <c r="E443" s="17"/>
      <c r="F443" s="17"/>
      <c r="G443" s="17"/>
      <c r="H443" s="17"/>
      <c r="I443" s="17"/>
      <c r="J443" s="18"/>
      <c r="K443" s="19"/>
      <c r="L443" s="17"/>
      <c r="M443" s="14"/>
      <c r="N443" s="17"/>
      <c r="O443" s="17"/>
    </row>
    <row r="444" spans="1:15">
      <c r="A444" s="14"/>
      <c r="B444" s="15"/>
      <c r="C444" s="16"/>
      <c r="D444" s="14"/>
      <c r="E444" s="17"/>
      <c r="F444" s="17"/>
      <c r="G444" s="17"/>
      <c r="H444" s="17"/>
      <c r="I444" s="17"/>
      <c r="J444" s="18"/>
      <c r="K444" s="19"/>
      <c r="L444" s="17"/>
      <c r="M444" s="14"/>
      <c r="N444" s="17"/>
      <c r="O444" s="17"/>
    </row>
    <row r="445" spans="1:15">
      <c r="A445" s="14"/>
      <c r="B445" s="15"/>
      <c r="C445" s="16"/>
      <c r="D445" s="14"/>
      <c r="E445" s="17"/>
      <c r="F445" s="17"/>
      <c r="G445" s="17"/>
      <c r="H445" s="17"/>
      <c r="I445" s="17"/>
      <c r="J445" s="18"/>
      <c r="K445" s="19"/>
      <c r="L445" s="17"/>
      <c r="M445" s="14"/>
      <c r="N445" s="17"/>
      <c r="O445" s="17"/>
    </row>
    <row r="446" spans="1:15">
      <c r="A446" s="14"/>
      <c r="B446" s="15"/>
      <c r="C446" s="16"/>
      <c r="D446" s="14"/>
      <c r="E446" s="17"/>
      <c r="F446" s="17"/>
      <c r="G446" s="17"/>
      <c r="H446" s="17"/>
      <c r="I446" s="17"/>
      <c r="J446" s="18"/>
      <c r="K446" s="19"/>
      <c r="L446" s="17"/>
      <c r="M446" s="14"/>
      <c r="N446" s="17"/>
      <c r="O446" s="17"/>
    </row>
    <row r="447" spans="1:15">
      <c r="A447" s="14"/>
      <c r="B447" s="15"/>
      <c r="C447" s="16"/>
      <c r="D447" s="14"/>
      <c r="E447" s="17"/>
      <c r="F447" s="17"/>
      <c r="G447" s="17"/>
      <c r="H447" s="17"/>
      <c r="I447" s="17"/>
      <c r="J447" s="18"/>
      <c r="K447" s="19"/>
      <c r="L447" s="17"/>
      <c r="M447" s="14"/>
      <c r="N447" s="17"/>
      <c r="O447" s="17"/>
    </row>
    <row r="448" spans="1:15">
      <c r="A448" s="14"/>
      <c r="B448" s="15"/>
      <c r="C448" s="16"/>
      <c r="D448" s="14"/>
      <c r="E448" s="17"/>
      <c r="F448" s="17"/>
      <c r="G448" s="17"/>
      <c r="H448" s="17"/>
      <c r="I448" s="17"/>
      <c r="J448" s="18"/>
      <c r="K448" s="19"/>
      <c r="L448" s="17"/>
      <c r="M448" s="14"/>
      <c r="N448" s="17"/>
      <c r="O448" s="17"/>
    </row>
    <row r="449" spans="1:15">
      <c r="A449" s="14"/>
      <c r="B449" s="15"/>
      <c r="C449" s="16"/>
      <c r="D449" s="14"/>
      <c r="E449" s="17"/>
      <c r="F449" s="17"/>
      <c r="G449" s="17"/>
      <c r="H449" s="17"/>
      <c r="I449" s="17"/>
      <c r="J449" s="18"/>
      <c r="K449" s="19"/>
      <c r="L449" s="17"/>
      <c r="M449" s="14"/>
      <c r="N449" s="17"/>
      <c r="O449" s="17"/>
    </row>
    <row r="450" spans="1:15">
      <c r="A450" s="14"/>
      <c r="B450" s="15"/>
      <c r="C450" s="16"/>
      <c r="D450" s="14"/>
      <c r="E450" s="17"/>
      <c r="F450" s="17"/>
      <c r="G450" s="17"/>
      <c r="H450" s="17"/>
      <c r="I450" s="17"/>
      <c r="J450" s="18"/>
      <c r="K450" s="19"/>
      <c r="L450" s="17"/>
      <c r="M450" s="14"/>
      <c r="N450" s="17"/>
      <c r="O450" s="17"/>
    </row>
    <row r="451" spans="1:15">
      <c r="A451" s="14"/>
      <c r="B451" s="15"/>
      <c r="C451" s="16"/>
      <c r="D451" s="14"/>
      <c r="E451" s="17"/>
      <c r="F451" s="17"/>
      <c r="G451" s="17"/>
      <c r="H451" s="17"/>
      <c r="I451" s="17"/>
      <c r="J451" s="18"/>
      <c r="K451" s="19"/>
      <c r="L451" s="17"/>
      <c r="M451" s="14"/>
      <c r="N451" s="17"/>
      <c r="O451" s="17"/>
    </row>
    <row r="452" spans="1:15">
      <c r="A452" s="14"/>
      <c r="B452" s="15"/>
      <c r="C452" s="16"/>
      <c r="D452" s="14"/>
      <c r="E452" s="17"/>
      <c r="F452" s="17"/>
      <c r="G452" s="17"/>
      <c r="H452" s="17"/>
      <c r="I452" s="17"/>
      <c r="J452" s="18"/>
      <c r="K452" s="19"/>
      <c r="L452" s="17"/>
      <c r="M452" s="14"/>
      <c r="N452" s="17"/>
      <c r="O452" s="17"/>
    </row>
    <row r="453" spans="1:15">
      <c r="A453" s="14"/>
      <c r="B453" s="15"/>
      <c r="C453" s="16"/>
      <c r="D453" s="14"/>
      <c r="E453" s="17"/>
      <c r="F453" s="17"/>
      <c r="G453" s="17"/>
      <c r="H453" s="17"/>
      <c r="I453" s="17"/>
      <c r="J453" s="18"/>
      <c r="K453" s="19"/>
      <c r="L453" s="17"/>
      <c r="M453" s="14"/>
      <c r="N453" s="17"/>
      <c r="O453" s="17"/>
    </row>
    <row r="454" spans="1:15">
      <c r="A454" s="14"/>
      <c r="B454" s="15"/>
      <c r="C454" s="16"/>
      <c r="D454" s="14"/>
      <c r="E454" s="17"/>
      <c r="F454" s="17"/>
      <c r="G454" s="17"/>
      <c r="H454" s="17"/>
      <c r="I454" s="17"/>
      <c r="J454" s="18"/>
      <c r="K454" s="19"/>
      <c r="L454" s="17"/>
      <c r="M454" s="14"/>
      <c r="N454" s="17"/>
      <c r="O454" s="17"/>
    </row>
    <row r="455" spans="1:15">
      <c r="A455" s="14"/>
      <c r="B455" s="15"/>
      <c r="C455" s="16"/>
      <c r="D455" s="14"/>
      <c r="E455" s="17"/>
      <c r="F455" s="17"/>
      <c r="G455" s="17"/>
      <c r="H455" s="17"/>
      <c r="I455" s="17"/>
      <c r="J455" s="18"/>
      <c r="K455" s="19"/>
      <c r="L455" s="17"/>
      <c r="M455" s="14"/>
      <c r="N455" s="17"/>
      <c r="O455" s="17"/>
    </row>
    <row r="456" spans="1:15">
      <c r="A456" s="14"/>
      <c r="B456" s="15"/>
      <c r="C456" s="16"/>
      <c r="D456" s="14"/>
      <c r="E456" s="17"/>
      <c r="F456" s="17"/>
      <c r="G456" s="17"/>
      <c r="H456" s="17"/>
      <c r="I456" s="17"/>
      <c r="J456" s="18"/>
      <c r="K456" s="19"/>
      <c r="L456" s="17"/>
      <c r="M456" s="14"/>
      <c r="N456" s="17"/>
      <c r="O456" s="17"/>
    </row>
    <row r="457" spans="1:15">
      <c r="A457" s="14"/>
      <c r="B457" s="15"/>
      <c r="C457" s="16"/>
      <c r="D457" s="14"/>
      <c r="E457" s="17"/>
      <c r="F457" s="17"/>
      <c r="G457" s="17"/>
      <c r="H457" s="17"/>
      <c r="I457" s="17"/>
      <c r="J457" s="18"/>
      <c r="K457" s="19"/>
      <c r="L457" s="17"/>
      <c r="M457" s="14"/>
      <c r="N457" s="17"/>
      <c r="O457" s="17"/>
    </row>
    <row r="458" spans="1:15">
      <c r="A458" s="14"/>
      <c r="B458" s="15"/>
      <c r="C458" s="16"/>
      <c r="D458" s="14"/>
      <c r="E458" s="17"/>
      <c r="F458" s="17"/>
      <c r="G458" s="17"/>
      <c r="H458" s="17"/>
      <c r="I458" s="17"/>
      <c r="J458" s="18"/>
      <c r="K458" s="19"/>
      <c r="L458" s="17"/>
      <c r="M458" s="14"/>
      <c r="N458" s="17"/>
      <c r="O458" s="17"/>
    </row>
    <row r="459" spans="1:15">
      <c r="A459" s="14"/>
      <c r="B459" s="15"/>
      <c r="C459" s="16"/>
      <c r="D459" s="14"/>
      <c r="E459" s="17"/>
      <c r="F459" s="17"/>
      <c r="G459" s="17"/>
      <c r="H459" s="17"/>
      <c r="I459" s="17"/>
      <c r="J459" s="18"/>
      <c r="K459" s="19"/>
      <c r="L459" s="17"/>
      <c r="M459" s="14"/>
      <c r="N459" s="17"/>
      <c r="O459" s="17"/>
    </row>
    <row r="460" spans="1:15">
      <c r="A460" s="14"/>
      <c r="B460" s="15"/>
      <c r="C460" s="16"/>
      <c r="D460" s="14"/>
      <c r="E460" s="17"/>
      <c r="F460" s="17"/>
      <c r="G460" s="17"/>
      <c r="H460" s="17"/>
      <c r="I460" s="17"/>
      <c r="J460" s="18"/>
      <c r="K460" s="19"/>
      <c r="L460" s="17"/>
      <c r="M460" s="14"/>
      <c r="N460" s="17"/>
      <c r="O460" s="17"/>
    </row>
    <row r="461" spans="1:15">
      <c r="A461" s="14"/>
      <c r="B461" s="15"/>
      <c r="C461" s="16"/>
      <c r="D461" s="14"/>
      <c r="E461" s="17"/>
      <c r="F461" s="17"/>
      <c r="G461" s="17"/>
      <c r="H461" s="17"/>
      <c r="I461" s="17"/>
      <c r="J461" s="18"/>
      <c r="K461" s="19"/>
      <c r="L461" s="17"/>
      <c r="M461" s="14"/>
      <c r="N461" s="17"/>
      <c r="O461" s="17"/>
    </row>
    <row r="462" spans="1:15">
      <c r="A462" s="14"/>
      <c r="B462" s="15"/>
      <c r="C462" s="16"/>
      <c r="D462" s="14"/>
      <c r="E462" s="17"/>
      <c r="F462" s="17"/>
      <c r="G462" s="17"/>
      <c r="H462" s="17"/>
      <c r="I462" s="17"/>
      <c r="J462" s="18"/>
      <c r="K462" s="19"/>
      <c r="L462" s="17"/>
      <c r="M462" s="14"/>
      <c r="N462" s="17"/>
      <c r="O462" s="17"/>
    </row>
    <row r="463" spans="1:15">
      <c r="A463" s="14"/>
      <c r="B463" s="15"/>
      <c r="C463" s="16"/>
      <c r="D463" s="14"/>
      <c r="E463" s="17"/>
      <c r="F463" s="17"/>
      <c r="G463" s="17"/>
      <c r="H463" s="17"/>
      <c r="I463" s="17"/>
      <c r="J463" s="18"/>
      <c r="K463" s="19"/>
      <c r="L463" s="17"/>
      <c r="M463" s="14"/>
      <c r="N463" s="17"/>
      <c r="O463" s="17"/>
    </row>
    <row r="464" spans="1:15">
      <c r="A464" s="14"/>
      <c r="B464" s="15"/>
      <c r="C464" s="16"/>
      <c r="D464" s="14"/>
      <c r="E464" s="17"/>
      <c r="F464" s="17"/>
      <c r="G464" s="17"/>
      <c r="H464" s="17"/>
      <c r="I464" s="17"/>
      <c r="J464" s="18"/>
      <c r="K464" s="19"/>
      <c r="L464" s="17"/>
      <c r="M464" s="14"/>
      <c r="N464" s="17"/>
      <c r="O464" s="17"/>
    </row>
    <row r="465" spans="1:15">
      <c r="A465" s="14"/>
      <c r="B465" s="15"/>
      <c r="C465" s="16"/>
      <c r="D465" s="14"/>
      <c r="E465" s="17"/>
      <c r="F465" s="17"/>
      <c r="G465" s="17"/>
      <c r="H465" s="17"/>
      <c r="I465" s="17"/>
      <c r="J465" s="18"/>
      <c r="K465" s="19"/>
      <c r="L465" s="17"/>
      <c r="M465" s="14"/>
      <c r="N465" s="17"/>
      <c r="O465" s="17"/>
    </row>
    <row r="466" spans="1:15">
      <c r="A466" s="14"/>
      <c r="B466" s="15"/>
      <c r="C466" s="16"/>
      <c r="D466" s="14"/>
      <c r="E466" s="17"/>
      <c r="F466" s="17"/>
      <c r="G466" s="17"/>
      <c r="H466" s="17"/>
      <c r="I466" s="17"/>
      <c r="J466" s="18"/>
      <c r="K466" s="19"/>
      <c r="L466" s="17"/>
      <c r="M466" s="14"/>
      <c r="N466" s="17"/>
      <c r="O466" s="17"/>
    </row>
    <row r="467" spans="1:15">
      <c r="A467" s="14"/>
      <c r="B467" s="15"/>
      <c r="C467" s="16"/>
      <c r="D467" s="14"/>
      <c r="E467" s="17"/>
      <c r="F467" s="17"/>
      <c r="G467" s="17"/>
      <c r="H467" s="17"/>
      <c r="I467" s="17"/>
      <c r="J467" s="18"/>
      <c r="K467" s="19"/>
      <c r="L467" s="17"/>
      <c r="M467" s="14"/>
      <c r="N467" s="17"/>
      <c r="O467" s="17"/>
    </row>
    <row r="468" spans="1:15">
      <c r="A468" s="14"/>
      <c r="B468" s="15"/>
      <c r="C468" s="16"/>
      <c r="D468" s="14"/>
      <c r="E468" s="17"/>
      <c r="F468" s="17"/>
      <c r="G468" s="17"/>
      <c r="H468" s="17"/>
      <c r="I468" s="17"/>
      <c r="J468" s="18"/>
      <c r="K468" s="19"/>
      <c r="L468" s="17"/>
      <c r="M468" s="14"/>
      <c r="N468" s="17"/>
      <c r="O468" s="17"/>
    </row>
    <row r="469" spans="1:15">
      <c r="A469" s="14"/>
      <c r="B469" s="15"/>
      <c r="C469" s="16"/>
      <c r="D469" s="14"/>
      <c r="E469" s="17"/>
      <c r="F469" s="17"/>
      <c r="G469" s="17"/>
      <c r="H469" s="17"/>
      <c r="I469" s="17"/>
      <c r="J469" s="18"/>
      <c r="K469" s="19"/>
      <c r="L469" s="17"/>
      <c r="M469" s="14"/>
      <c r="N469" s="17"/>
      <c r="O469" s="17"/>
    </row>
    <row r="470" spans="1:15">
      <c r="A470" s="14"/>
      <c r="B470" s="15"/>
      <c r="C470" s="16"/>
      <c r="D470" s="14"/>
      <c r="E470" s="17"/>
      <c r="F470" s="17"/>
      <c r="G470" s="17"/>
      <c r="H470" s="17"/>
      <c r="I470" s="17"/>
      <c r="J470" s="18"/>
      <c r="K470" s="19"/>
      <c r="L470" s="17"/>
      <c r="M470" s="14"/>
      <c r="N470" s="17"/>
      <c r="O470" s="17"/>
    </row>
    <row r="471" spans="1:15">
      <c r="A471" s="14"/>
      <c r="B471" s="15"/>
      <c r="C471" s="16"/>
      <c r="D471" s="14"/>
      <c r="E471" s="17"/>
      <c r="F471" s="17"/>
      <c r="G471" s="17"/>
      <c r="H471" s="17"/>
      <c r="I471" s="17"/>
      <c r="J471" s="18"/>
      <c r="K471" s="19"/>
      <c r="L471" s="17"/>
      <c r="M471" s="14"/>
      <c r="N471" s="17"/>
      <c r="O471" s="17"/>
    </row>
    <row r="472" spans="1:15">
      <c r="A472" s="14"/>
      <c r="B472" s="15"/>
      <c r="C472" s="16"/>
      <c r="D472" s="14"/>
      <c r="E472" s="17"/>
      <c r="F472" s="17"/>
      <c r="G472" s="17"/>
      <c r="H472" s="17"/>
      <c r="I472" s="17"/>
      <c r="J472" s="18"/>
      <c r="K472" s="19"/>
      <c r="L472" s="17"/>
      <c r="M472" s="14"/>
      <c r="N472" s="17"/>
      <c r="O472" s="17"/>
    </row>
    <row r="473" spans="1:15">
      <c r="A473" s="14"/>
      <c r="B473" s="15"/>
      <c r="C473" s="16"/>
      <c r="D473" s="14"/>
      <c r="E473" s="17"/>
      <c r="F473" s="17"/>
      <c r="G473" s="17"/>
      <c r="H473" s="17"/>
      <c r="I473" s="17"/>
      <c r="J473" s="18"/>
      <c r="K473" s="19"/>
      <c r="L473" s="17"/>
      <c r="M473" s="14"/>
      <c r="N473" s="17"/>
      <c r="O473" s="17"/>
    </row>
    <row r="474" spans="1:15">
      <c r="A474" s="14"/>
      <c r="B474" s="15"/>
      <c r="C474" s="16"/>
      <c r="D474" s="14"/>
      <c r="E474" s="17"/>
      <c r="F474" s="17"/>
      <c r="G474" s="17"/>
      <c r="H474" s="17"/>
      <c r="I474" s="17"/>
      <c r="J474" s="18"/>
      <c r="K474" s="19"/>
      <c r="L474" s="17"/>
      <c r="M474" s="14"/>
      <c r="N474" s="17"/>
      <c r="O474" s="17"/>
    </row>
    <row r="475" spans="1:15">
      <c r="A475" s="14"/>
      <c r="B475" s="15"/>
      <c r="C475" s="16"/>
      <c r="D475" s="14"/>
      <c r="E475" s="17"/>
      <c r="F475" s="17"/>
      <c r="G475" s="17"/>
      <c r="H475" s="17"/>
      <c r="I475" s="17"/>
      <c r="J475" s="18"/>
      <c r="K475" s="19"/>
      <c r="L475" s="17"/>
      <c r="M475" s="14"/>
      <c r="N475" s="17"/>
      <c r="O475" s="17"/>
    </row>
    <row r="476" spans="1:15">
      <c r="A476" s="14"/>
      <c r="B476" s="15"/>
      <c r="C476" s="16"/>
      <c r="D476" s="14"/>
      <c r="E476" s="17"/>
      <c r="F476" s="17"/>
      <c r="G476" s="17"/>
      <c r="H476" s="17"/>
      <c r="I476" s="17"/>
      <c r="J476" s="18"/>
      <c r="K476" s="19"/>
      <c r="L476" s="17"/>
      <c r="M476" s="14"/>
      <c r="N476" s="17"/>
      <c r="O476" s="17"/>
    </row>
    <row r="477" spans="1:15">
      <c r="A477" s="14"/>
      <c r="B477" s="15"/>
      <c r="C477" s="16"/>
      <c r="D477" s="14"/>
      <c r="E477" s="17"/>
      <c r="F477" s="17"/>
      <c r="G477" s="17"/>
      <c r="H477" s="17"/>
      <c r="I477" s="17"/>
      <c r="J477" s="18"/>
      <c r="K477" s="19"/>
      <c r="L477" s="17"/>
      <c r="M477" s="14"/>
      <c r="N477" s="17"/>
      <c r="O477" s="17"/>
    </row>
    <row r="478" spans="1:15">
      <c r="A478" s="14"/>
      <c r="B478" s="15"/>
      <c r="C478" s="16"/>
      <c r="D478" s="14"/>
      <c r="E478" s="17"/>
      <c r="F478" s="17"/>
      <c r="G478" s="17"/>
      <c r="H478" s="17"/>
      <c r="I478" s="17"/>
      <c r="J478" s="18"/>
      <c r="K478" s="19"/>
      <c r="L478" s="17"/>
      <c r="M478" s="14"/>
      <c r="N478" s="17"/>
      <c r="O478" s="17"/>
    </row>
    <row r="479" spans="1:15">
      <c r="A479" s="14"/>
      <c r="B479" s="15"/>
      <c r="C479" s="16"/>
      <c r="D479" s="14"/>
      <c r="E479" s="17"/>
      <c r="F479" s="17"/>
      <c r="G479" s="17"/>
      <c r="H479" s="17"/>
      <c r="I479" s="17"/>
      <c r="J479" s="18"/>
      <c r="K479" s="19"/>
      <c r="L479" s="17"/>
      <c r="M479" s="14"/>
      <c r="N479" s="17"/>
      <c r="O479" s="17"/>
    </row>
    <row r="480" spans="1:15">
      <c r="A480" s="14"/>
      <c r="B480" s="15"/>
      <c r="C480" s="16"/>
      <c r="D480" s="14"/>
      <c r="E480" s="17"/>
      <c r="F480" s="17"/>
      <c r="G480" s="17"/>
      <c r="H480" s="17"/>
      <c r="I480" s="17"/>
      <c r="J480" s="18"/>
      <c r="K480" s="19"/>
      <c r="L480" s="17"/>
      <c r="M480" s="14"/>
      <c r="N480" s="17"/>
      <c r="O480" s="17"/>
    </row>
    <row r="481" spans="1:15">
      <c r="A481" s="14"/>
      <c r="B481" s="15"/>
      <c r="C481" s="16"/>
      <c r="D481" s="14"/>
      <c r="E481" s="17"/>
      <c r="F481" s="17"/>
      <c r="G481" s="17"/>
      <c r="H481" s="17"/>
      <c r="I481" s="17"/>
      <c r="J481" s="18"/>
      <c r="K481" s="19"/>
      <c r="L481" s="17"/>
      <c r="M481" s="14"/>
      <c r="N481" s="17"/>
      <c r="O481" s="17"/>
    </row>
    <row r="482" spans="1:15">
      <c r="A482" s="14"/>
      <c r="B482" s="15"/>
      <c r="C482" s="16"/>
      <c r="D482" s="14"/>
      <c r="E482" s="17"/>
      <c r="F482" s="17"/>
      <c r="G482" s="17"/>
      <c r="H482" s="17"/>
      <c r="I482" s="17"/>
      <c r="J482" s="18"/>
      <c r="K482" s="19"/>
      <c r="L482" s="17"/>
      <c r="M482" s="14"/>
      <c r="N482" s="17"/>
      <c r="O482" s="17"/>
    </row>
    <row r="483" spans="1:15">
      <c r="A483" s="14"/>
      <c r="B483" s="15"/>
      <c r="C483" s="16"/>
      <c r="D483" s="14"/>
      <c r="E483" s="17"/>
      <c r="F483" s="17"/>
      <c r="G483" s="17"/>
      <c r="H483" s="17"/>
      <c r="I483" s="17"/>
      <c r="J483" s="18"/>
      <c r="K483" s="19"/>
      <c r="L483" s="17"/>
      <c r="M483" s="14"/>
      <c r="N483" s="17"/>
      <c r="O483" s="17"/>
    </row>
    <row r="484" spans="1:15">
      <c r="A484" s="14"/>
      <c r="B484" s="15"/>
      <c r="C484" s="16"/>
      <c r="D484" s="14"/>
      <c r="E484" s="17"/>
      <c r="F484" s="17"/>
      <c r="G484" s="17"/>
      <c r="H484" s="17"/>
      <c r="I484" s="17"/>
      <c r="J484" s="18"/>
      <c r="K484" s="19"/>
      <c r="L484" s="17"/>
      <c r="M484" s="14"/>
      <c r="N484" s="17"/>
      <c r="O484" s="17"/>
    </row>
    <row r="485" spans="1:15">
      <c r="A485" s="14"/>
      <c r="B485" s="15"/>
      <c r="C485" s="16"/>
      <c r="D485" s="14"/>
      <c r="E485" s="17"/>
      <c r="F485" s="17"/>
      <c r="G485" s="17"/>
      <c r="H485" s="17"/>
      <c r="I485" s="17"/>
      <c r="J485" s="18"/>
      <c r="K485" s="19"/>
      <c r="L485" s="17"/>
      <c r="M485" s="14"/>
      <c r="N485" s="17"/>
      <c r="O485" s="17"/>
    </row>
    <row r="486" spans="1:15">
      <c r="A486" s="14"/>
      <c r="B486" s="15"/>
      <c r="C486" s="16"/>
      <c r="D486" s="14"/>
      <c r="E486" s="17"/>
      <c r="F486" s="17"/>
      <c r="G486" s="17"/>
      <c r="H486" s="17"/>
      <c r="I486" s="17"/>
      <c r="J486" s="18"/>
      <c r="K486" s="19"/>
      <c r="L486" s="17"/>
      <c r="M486" s="14"/>
      <c r="N486" s="17"/>
      <c r="O486" s="17"/>
    </row>
    <row r="487" spans="1:15">
      <c r="A487" s="14"/>
      <c r="B487" s="15"/>
      <c r="C487" s="16"/>
      <c r="D487" s="14"/>
      <c r="E487" s="17"/>
      <c r="F487" s="17"/>
      <c r="G487" s="17"/>
      <c r="H487" s="17"/>
      <c r="I487" s="17"/>
      <c r="J487" s="18"/>
      <c r="K487" s="19"/>
      <c r="L487" s="17"/>
      <c r="M487" s="14"/>
      <c r="N487" s="17"/>
      <c r="O487" s="17"/>
    </row>
    <row r="488" spans="1:15">
      <c r="A488" s="14"/>
      <c r="B488" s="15"/>
      <c r="C488" s="16"/>
      <c r="D488" s="14"/>
      <c r="E488" s="17"/>
      <c r="F488" s="17"/>
      <c r="G488" s="17"/>
      <c r="H488" s="17"/>
      <c r="I488" s="17"/>
      <c r="J488" s="18"/>
      <c r="K488" s="19"/>
      <c r="L488" s="17"/>
      <c r="M488" s="14"/>
      <c r="N488" s="17"/>
      <c r="O488" s="17"/>
    </row>
    <row r="489" spans="1:15">
      <c r="A489" s="14"/>
      <c r="B489" s="15"/>
      <c r="C489" s="16"/>
      <c r="D489" s="14"/>
      <c r="E489" s="17"/>
      <c r="F489" s="17"/>
      <c r="G489" s="17"/>
      <c r="H489" s="17"/>
      <c r="I489" s="17"/>
      <c r="J489" s="18"/>
      <c r="K489" s="19"/>
      <c r="L489" s="17"/>
      <c r="M489" s="14"/>
      <c r="N489" s="17"/>
      <c r="O489" s="17"/>
    </row>
    <row r="490" spans="1:15">
      <c r="A490" s="14"/>
      <c r="B490" s="15"/>
      <c r="C490" s="16"/>
      <c r="D490" s="14"/>
      <c r="E490" s="17"/>
      <c r="F490" s="17"/>
      <c r="G490" s="17"/>
      <c r="H490" s="17"/>
      <c r="I490" s="17"/>
      <c r="J490" s="18"/>
      <c r="K490" s="19"/>
      <c r="L490" s="17"/>
      <c r="M490" s="14"/>
      <c r="N490" s="17"/>
      <c r="O490" s="17"/>
    </row>
    <row r="491" spans="1:15">
      <c r="A491" s="14"/>
      <c r="B491" s="15"/>
      <c r="C491" s="16"/>
      <c r="D491" s="14"/>
      <c r="E491" s="17"/>
      <c r="F491" s="17"/>
      <c r="G491" s="17"/>
      <c r="H491" s="17"/>
      <c r="I491" s="17"/>
      <c r="J491" s="18"/>
      <c r="K491" s="19"/>
      <c r="L491" s="17"/>
      <c r="M491" s="14"/>
      <c r="N491" s="17"/>
      <c r="O491" s="17"/>
    </row>
    <row r="492" spans="1:15">
      <c r="A492" s="14"/>
      <c r="B492" s="15"/>
      <c r="C492" s="16"/>
      <c r="D492" s="14"/>
      <c r="E492" s="17"/>
      <c r="F492" s="17"/>
      <c r="G492" s="17"/>
      <c r="H492" s="17"/>
      <c r="I492" s="17"/>
      <c r="J492" s="18"/>
      <c r="K492" s="19"/>
      <c r="L492" s="17"/>
      <c r="M492" s="14"/>
      <c r="N492" s="17"/>
      <c r="O492" s="17"/>
    </row>
    <row r="493" spans="1:15">
      <c r="A493" s="14"/>
      <c r="B493" s="15"/>
      <c r="C493" s="16"/>
      <c r="D493" s="14"/>
      <c r="E493" s="17"/>
      <c r="F493" s="17"/>
      <c r="G493" s="17"/>
      <c r="H493" s="17"/>
      <c r="I493" s="17"/>
      <c r="J493" s="18"/>
      <c r="K493" s="19"/>
      <c r="L493" s="17"/>
      <c r="M493" s="14"/>
      <c r="N493" s="17"/>
      <c r="O493" s="17"/>
    </row>
    <row r="494" spans="1:15">
      <c r="A494" s="14"/>
      <c r="B494" s="15"/>
      <c r="C494" s="16"/>
      <c r="D494" s="14"/>
      <c r="E494" s="17"/>
      <c r="F494" s="17"/>
      <c r="G494" s="17"/>
      <c r="H494" s="17"/>
      <c r="I494" s="17"/>
      <c r="J494" s="18"/>
      <c r="K494" s="19"/>
      <c r="L494" s="17"/>
      <c r="M494" s="14"/>
      <c r="N494" s="17"/>
      <c r="O494" s="17"/>
    </row>
    <row r="495" spans="1:15">
      <c r="A495" s="14"/>
      <c r="B495" s="15"/>
      <c r="C495" s="16"/>
      <c r="D495" s="14"/>
      <c r="E495" s="17"/>
      <c r="F495" s="17"/>
      <c r="G495" s="17"/>
      <c r="H495" s="17"/>
      <c r="I495" s="17"/>
      <c r="J495" s="18"/>
      <c r="K495" s="19"/>
      <c r="L495" s="17"/>
      <c r="M495" s="14"/>
      <c r="N495" s="17"/>
      <c r="O495" s="17"/>
    </row>
    <row r="496" spans="1:15">
      <c r="A496" s="14"/>
      <c r="B496" s="15"/>
      <c r="C496" s="16"/>
      <c r="D496" s="14"/>
      <c r="E496" s="17"/>
      <c r="F496" s="17"/>
      <c r="G496" s="17"/>
      <c r="H496" s="17"/>
      <c r="I496" s="17"/>
      <c r="J496" s="18"/>
      <c r="K496" s="19"/>
      <c r="L496" s="17"/>
      <c r="M496" s="14"/>
      <c r="N496" s="17"/>
      <c r="O496" s="17"/>
    </row>
    <row r="497" spans="1:15">
      <c r="A497" s="14"/>
      <c r="B497" s="15"/>
      <c r="C497" s="16"/>
      <c r="D497" s="14"/>
      <c r="E497" s="17"/>
      <c r="F497" s="17"/>
      <c r="G497" s="17"/>
      <c r="H497" s="17"/>
      <c r="I497" s="17"/>
      <c r="J497" s="18"/>
      <c r="K497" s="19"/>
      <c r="L497" s="17"/>
      <c r="M497" s="14"/>
      <c r="N497" s="17"/>
      <c r="O497" s="17"/>
    </row>
    <row r="498" spans="1:15">
      <c r="A498" s="14"/>
      <c r="B498" s="15"/>
      <c r="C498" s="16"/>
      <c r="D498" s="14"/>
      <c r="E498" s="17"/>
      <c r="F498" s="17"/>
      <c r="G498" s="17"/>
      <c r="H498" s="17"/>
      <c r="I498" s="17"/>
      <c r="J498" s="18"/>
      <c r="K498" s="19"/>
      <c r="L498" s="17"/>
      <c r="M498" s="14"/>
      <c r="N498" s="17"/>
      <c r="O498" s="17"/>
    </row>
    <row r="499" spans="1:15">
      <c r="A499" s="14"/>
      <c r="B499" s="15"/>
      <c r="C499" s="16"/>
      <c r="D499" s="14"/>
      <c r="E499" s="17"/>
      <c r="F499" s="17"/>
      <c r="G499" s="17"/>
      <c r="H499" s="17"/>
      <c r="I499" s="17"/>
      <c r="J499" s="18"/>
      <c r="K499" s="19"/>
      <c r="L499" s="17"/>
      <c r="M499" s="14"/>
      <c r="N499" s="17"/>
      <c r="O499" s="17"/>
    </row>
    <row r="500" spans="1:15">
      <c r="A500" s="14"/>
      <c r="B500" s="15"/>
      <c r="C500" s="16"/>
      <c r="D500" s="14"/>
      <c r="E500" s="17"/>
      <c r="F500" s="17"/>
      <c r="G500" s="17"/>
      <c r="H500" s="17"/>
      <c r="I500" s="17"/>
      <c r="J500" s="18"/>
      <c r="K500" s="19"/>
      <c r="L500" s="17"/>
      <c r="M500" s="14"/>
      <c r="N500" s="17"/>
      <c r="O500" s="17"/>
    </row>
    <row r="501" spans="1:15">
      <c r="A501" s="14"/>
      <c r="B501" s="15"/>
      <c r="C501" s="16"/>
      <c r="D501" s="14"/>
      <c r="E501" s="17"/>
      <c r="F501" s="17"/>
      <c r="G501" s="17"/>
      <c r="H501" s="17"/>
      <c r="I501" s="17"/>
      <c r="J501" s="18"/>
      <c r="K501" s="19"/>
      <c r="L501" s="17"/>
      <c r="M501" s="14"/>
      <c r="N501" s="17"/>
      <c r="O501" s="17"/>
    </row>
    <row r="502" spans="1:15">
      <c r="A502" s="14"/>
      <c r="B502" s="15"/>
      <c r="C502" s="16"/>
      <c r="D502" s="14"/>
      <c r="E502" s="17"/>
      <c r="F502" s="17"/>
      <c r="G502" s="17"/>
      <c r="H502" s="17"/>
      <c r="I502" s="17"/>
      <c r="J502" s="18"/>
      <c r="K502" s="19"/>
      <c r="L502" s="17"/>
      <c r="M502" s="14"/>
      <c r="N502" s="17"/>
      <c r="O502" s="17"/>
    </row>
    <row r="503" spans="1:15">
      <c r="A503" s="14"/>
      <c r="B503" s="15"/>
      <c r="C503" s="16"/>
      <c r="D503" s="14"/>
      <c r="E503" s="17"/>
      <c r="F503" s="17"/>
      <c r="G503" s="17"/>
      <c r="H503" s="17"/>
      <c r="I503" s="17"/>
      <c r="J503" s="18"/>
      <c r="K503" s="19"/>
      <c r="L503" s="17"/>
      <c r="M503" s="14"/>
      <c r="N503" s="17"/>
      <c r="O503" s="17"/>
    </row>
    <row r="504" spans="1:15">
      <c r="A504" s="14"/>
      <c r="B504" s="15"/>
      <c r="C504" s="16"/>
      <c r="D504" s="14"/>
      <c r="E504" s="17"/>
      <c r="F504" s="17"/>
      <c r="G504" s="17"/>
      <c r="H504" s="17"/>
      <c r="I504" s="17"/>
      <c r="J504" s="18"/>
      <c r="K504" s="19"/>
      <c r="L504" s="17"/>
      <c r="M504" s="14"/>
      <c r="N504" s="17"/>
      <c r="O504" s="17"/>
    </row>
    <row r="505" spans="1:15">
      <c r="A505" s="14"/>
      <c r="B505" s="15"/>
      <c r="C505" s="16"/>
      <c r="D505" s="14"/>
      <c r="E505" s="17"/>
      <c r="F505" s="17"/>
      <c r="G505" s="17"/>
      <c r="H505" s="17"/>
      <c r="I505" s="17"/>
      <c r="J505" s="18"/>
      <c r="K505" s="19"/>
      <c r="L505" s="17"/>
      <c r="M505" s="14"/>
      <c r="N505" s="17"/>
      <c r="O505" s="17"/>
    </row>
    <row r="506" spans="1:15">
      <c r="A506" s="14"/>
      <c r="B506" s="15"/>
      <c r="C506" s="16"/>
      <c r="D506" s="14"/>
      <c r="E506" s="17"/>
      <c r="F506" s="17"/>
      <c r="G506" s="17"/>
      <c r="H506" s="17"/>
      <c r="I506" s="17"/>
      <c r="J506" s="18"/>
      <c r="K506" s="19"/>
      <c r="L506" s="17"/>
      <c r="M506" s="14"/>
      <c r="N506" s="17"/>
      <c r="O506" s="17"/>
    </row>
    <row r="507" spans="1:15">
      <c r="A507" s="14"/>
      <c r="B507" s="15"/>
      <c r="C507" s="16"/>
      <c r="D507" s="14"/>
      <c r="E507" s="17"/>
      <c r="F507" s="17"/>
      <c r="G507" s="17"/>
      <c r="H507" s="17"/>
      <c r="I507" s="17"/>
      <c r="J507" s="18"/>
      <c r="K507" s="19"/>
      <c r="L507" s="17"/>
      <c r="M507" s="14"/>
      <c r="N507" s="17"/>
      <c r="O507" s="17"/>
    </row>
    <row r="508" spans="1:15">
      <c r="A508" s="14"/>
      <c r="B508" s="15"/>
      <c r="C508" s="16"/>
      <c r="D508" s="14"/>
      <c r="E508" s="17"/>
      <c r="F508" s="17"/>
      <c r="G508" s="17"/>
      <c r="H508" s="17"/>
      <c r="I508" s="17"/>
      <c r="J508" s="18"/>
      <c r="K508" s="19"/>
      <c r="L508" s="17"/>
      <c r="M508" s="14"/>
      <c r="N508" s="17"/>
      <c r="O508" s="17"/>
    </row>
    <row r="509" spans="1:15">
      <c r="A509" s="14"/>
      <c r="B509" s="15"/>
      <c r="C509" s="16"/>
      <c r="D509" s="14"/>
      <c r="E509" s="17"/>
      <c r="F509" s="17"/>
      <c r="G509" s="17"/>
      <c r="H509" s="17"/>
      <c r="I509" s="17"/>
      <c r="J509" s="18"/>
      <c r="K509" s="19"/>
      <c r="L509" s="17"/>
      <c r="M509" s="14"/>
      <c r="N509" s="17"/>
      <c r="O509" s="17"/>
    </row>
    <row r="510" spans="1:15">
      <c r="A510" s="14"/>
      <c r="B510" s="15"/>
      <c r="C510" s="16"/>
      <c r="D510" s="14"/>
      <c r="E510" s="17"/>
      <c r="F510" s="17"/>
      <c r="G510" s="17"/>
      <c r="H510" s="17"/>
      <c r="I510" s="17"/>
      <c r="J510" s="18"/>
      <c r="K510" s="19"/>
      <c r="L510" s="17"/>
      <c r="M510" s="14"/>
      <c r="N510" s="17"/>
      <c r="O510" s="17"/>
    </row>
    <row r="511" spans="1:15">
      <c r="A511" s="14"/>
      <c r="B511" s="15"/>
      <c r="C511" s="16"/>
      <c r="D511" s="14"/>
      <c r="E511" s="17"/>
      <c r="F511" s="17"/>
      <c r="G511" s="17"/>
      <c r="H511" s="17"/>
      <c r="I511" s="17"/>
      <c r="J511" s="18"/>
      <c r="K511" s="19"/>
      <c r="L511" s="17"/>
      <c r="M511" s="14"/>
      <c r="N511" s="17"/>
      <c r="O511" s="17"/>
    </row>
    <row r="512" spans="1:15">
      <c r="A512" s="14"/>
      <c r="B512" s="15"/>
      <c r="C512" s="16"/>
      <c r="D512" s="14"/>
      <c r="E512" s="17"/>
      <c r="F512" s="17"/>
      <c r="G512" s="17"/>
      <c r="H512" s="17"/>
      <c r="I512" s="17"/>
      <c r="J512" s="18"/>
      <c r="K512" s="19"/>
      <c r="L512" s="17"/>
      <c r="M512" s="14"/>
      <c r="N512" s="17"/>
      <c r="O512" s="17"/>
    </row>
    <row r="513" spans="1:15">
      <c r="A513" s="14"/>
      <c r="B513" s="15"/>
      <c r="C513" s="16"/>
      <c r="D513" s="14"/>
      <c r="E513" s="17"/>
      <c r="F513" s="17"/>
      <c r="G513" s="17"/>
      <c r="H513" s="17"/>
      <c r="I513" s="17"/>
      <c r="J513" s="18"/>
      <c r="K513" s="19"/>
      <c r="L513" s="17"/>
      <c r="M513" s="14"/>
      <c r="N513" s="17"/>
      <c r="O513" s="17"/>
    </row>
    <row r="514" spans="1:15">
      <c r="A514" s="14"/>
      <c r="B514" s="15"/>
      <c r="C514" s="16"/>
      <c r="D514" s="14"/>
      <c r="E514" s="17"/>
      <c r="F514" s="17"/>
      <c r="G514" s="17"/>
      <c r="H514" s="17"/>
      <c r="I514" s="17"/>
      <c r="J514" s="18"/>
      <c r="K514" s="19"/>
      <c r="L514" s="17"/>
      <c r="M514" s="14"/>
      <c r="N514" s="17"/>
      <c r="O514" s="17"/>
    </row>
    <row r="515" spans="1:15">
      <c r="A515" s="14"/>
      <c r="B515" s="15"/>
      <c r="C515" s="16"/>
      <c r="D515" s="14"/>
      <c r="E515" s="17"/>
      <c r="F515" s="17"/>
      <c r="G515" s="17"/>
      <c r="H515" s="17"/>
      <c r="I515" s="17"/>
      <c r="J515" s="18"/>
      <c r="K515" s="19"/>
      <c r="L515" s="17"/>
      <c r="M515" s="14"/>
      <c r="N515" s="17"/>
      <c r="O515" s="17"/>
    </row>
    <row r="516" spans="1:15">
      <c r="A516" s="14"/>
      <c r="B516" s="15"/>
      <c r="C516" s="16"/>
      <c r="D516" s="14"/>
      <c r="E516" s="17"/>
      <c r="F516" s="17"/>
      <c r="G516" s="17"/>
      <c r="H516" s="17"/>
      <c r="I516" s="17"/>
      <c r="J516" s="18"/>
      <c r="K516" s="19"/>
      <c r="L516" s="17"/>
      <c r="M516" s="14"/>
      <c r="N516" s="17"/>
      <c r="O516" s="17"/>
    </row>
    <row r="517" spans="1:15">
      <c r="A517" s="14"/>
      <c r="B517" s="15"/>
      <c r="C517" s="16"/>
      <c r="D517" s="14"/>
      <c r="E517" s="17"/>
      <c r="F517" s="17"/>
      <c r="G517" s="17"/>
      <c r="H517" s="17"/>
      <c r="I517" s="17"/>
      <c r="J517" s="18"/>
      <c r="K517" s="19"/>
      <c r="L517" s="17"/>
      <c r="M517" s="14"/>
      <c r="N517" s="17"/>
      <c r="O517" s="17"/>
    </row>
    <row r="518" spans="1:15">
      <c r="A518" s="14"/>
      <c r="B518" s="15"/>
      <c r="C518" s="16"/>
      <c r="D518" s="14"/>
      <c r="E518" s="17"/>
      <c r="F518" s="17"/>
      <c r="G518" s="17"/>
      <c r="H518" s="17"/>
      <c r="I518" s="17"/>
      <c r="J518" s="18"/>
      <c r="K518" s="19"/>
      <c r="L518" s="17"/>
      <c r="M518" s="14"/>
      <c r="N518" s="17"/>
      <c r="O518" s="17"/>
    </row>
    <row r="519" spans="1:15">
      <c r="A519" s="14"/>
      <c r="B519" s="15"/>
      <c r="C519" s="16"/>
      <c r="D519" s="14"/>
      <c r="E519" s="17"/>
      <c r="F519" s="17"/>
      <c r="G519" s="17"/>
      <c r="H519" s="17"/>
      <c r="I519" s="17"/>
      <c r="J519" s="18"/>
      <c r="K519" s="19"/>
      <c r="L519" s="17"/>
      <c r="M519" s="14"/>
      <c r="N519" s="17"/>
      <c r="O519" s="17"/>
    </row>
    <row r="520" spans="1:15">
      <c r="A520" s="14"/>
      <c r="B520" s="15"/>
      <c r="C520" s="16"/>
      <c r="D520" s="14"/>
      <c r="E520" s="17"/>
      <c r="F520" s="17"/>
      <c r="G520" s="17"/>
      <c r="H520" s="17"/>
      <c r="I520" s="17"/>
      <c r="J520" s="18"/>
      <c r="K520" s="19"/>
      <c r="L520" s="17"/>
      <c r="M520" s="14"/>
      <c r="N520" s="17"/>
      <c r="O520" s="17"/>
    </row>
    <row r="521" spans="1:15">
      <c r="A521" s="14"/>
      <c r="B521" s="15"/>
      <c r="C521" s="16"/>
      <c r="D521" s="14"/>
      <c r="E521" s="17"/>
      <c r="F521" s="17"/>
      <c r="G521" s="17"/>
      <c r="H521" s="17"/>
      <c r="I521" s="17"/>
      <c r="J521" s="18"/>
      <c r="K521" s="19"/>
      <c r="L521" s="17"/>
      <c r="M521" s="14"/>
      <c r="N521" s="17"/>
      <c r="O521" s="17"/>
    </row>
    <row r="522" spans="1:15">
      <c r="A522" s="14"/>
      <c r="B522" s="15"/>
      <c r="C522" s="16"/>
      <c r="D522" s="14"/>
      <c r="E522" s="17"/>
      <c r="F522" s="17"/>
      <c r="G522" s="17"/>
      <c r="H522" s="17"/>
      <c r="I522" s="17"/>
      <c r="J522" s="18"/>
      <c r="K522" s="19"/>
      <c r="L522" s="17"/>
      <c r="M522" s="14"/>
      <c r="N522" s="17"/>
      <c r="O522" s="17"/>
    </row>
    <row r="523" spans="1:15">
      <c r="A523" s="14"/>
      <c r="B523" s="15"/>
      <c r="C523" s="16"/>
      <c r="D523" s="14"/>
      <c r="E523" s="17"/>
      <c r="F523" s="17"/>
      <c r="G523" s="17"/>
      <c r="H523" s="17"/>
      <c r="I523" s="17"/>
      <c r="J523" s="18"/>
      <c r="K523" s="19"/>
      <c r="L523" s="17"/>
      <c r="M523" s="14"/>
      <c r="N523" s="17"/>
      <c r="O523" s="17"/>
    </row>
    <row r="524" spans="1:15">
      <c r="A524" s="14"/>
      <c r="B524" s="15"/>
      <c r="C524" s="16"/>
      <c r="D524" s="14"/>
      <c r="E524" s="17"/>
      <c r="F524" s="17"/>
      <c r="G524" s="17"/>
      <c r="H524" s="17"/>
      <c r="I524" s="17"/>
      <c r="J524" s="18"/>
      <c r="K524" s="19"/>
      <c r="L524" s="17"/>
      <c r="M524" s="14"/>
      <c r="N524" s="17"/>
      <c r="O524" s="17"/>
    </row>
    <row r="525" spans="1:15">
      <c r="A525" s="14"/>
      <c r="B525" s="15"/>
      <c r="C525" s="16"/>
      <c r="D525" s="14"/>
      <c r="E525" s="17"/>
      <c r="F525" s="17"/>
      <c r="G525" s="17"/>
      <c r="H525" s="17"/>
      <c r="I525" s="17"/>
      <c r="J525" s="18"/>
      <c r="K525" s="19"/>
      <c r="L525" s="17"/>
      <c r="M525" s="14"/>
      <c r="N525" s="17"/>
      <c r="O525" s="17"/>
    </row>
    <row r="526" spans="1:15">
      <c r="A526" s="14"/>
      <c r="B526" s="15"/>
      <c r="C526" s="16"/>
      <c r="D526" s="14"/>
      <c r="E526" s="17"/>
      <c r="F526" s="17"/>
      <c r="G526" s="17"/>
      <c r="H526" s="17"/>
      <c r="I526" s="17"/>
      <c r="J526" s="18"/>
      <c r="K526" s="19"/>
      <c r="L526" s="17"/>
      <c r="M526" s="14"/>
      <c r="N526" s="17"/>
      <c r="O526" s="17"/>
    </row>
    <row r="527" spans="1:15">
      <c r="A527" s="14"/>
      <c r="B527" s="15"/>
      <c r="C527" s="16"/>
      <c r="D527" s="14"/>
      <c r="E527" s="17"/>
      <c r="F527" s="17"/>
      <c r="G527" s="17"/>
      <c r="H527" s="17"/>
      <c r="I527" s="17"/>
      <c r="J527" s="18"/>
      <c r="K527" s="19"/>
      <c r="L527" s="17"/>
      <c r="M527" s="14"/>
      <c r="N527" s="17"/>
      <c r="O527" s="17"/>
    </row>
    <row r="528" spans="1:15">
      <c r="A528" s="14"/>
      <c r="B528" s="15"/>
      <c r="C528" s="16"/>
      <c r="D528" s="14"/>
      <c r="E528" s="17"/>
      <c r="F528" s="17"/>
      <c r="G528" s="17"/>
      <c r="H528" s="17"/>
      <c r="I528" s="17"/>
      <c r="J528" s="18"/>
      <c r="K528" s="19"/>
      <c r="L528" s="17"/>
      <c r="M528" s="14"/>
      <c r="N528" s="17"/>
      <c r="O528" s="17"/>
    </row>
    <row r="529" spans="1:15">
      <c r="A529" s="14"/>
      <c r="B529" s="15"/>
      <c r="C529" s="16"/>
      <c r="D529" s="14"/>
      <c r="E529" s="17"/>
      <c r="F529" s="17"/>
      <c r="G529" s="17"/>
      <c r="H529" s="17"/>
      <c r="I529" s="17"/>
      <c r="J529" s="18"/>
      <c r="K529" s="19"/>
      <c r="L529" s="17"/>
      <c r="M529" s="14"/>
      <c r="N529" s="17"/>
      <c r="O529" s="17"/>
    </row>
    <row r="530" spans="1:15">
      <c r="A530" s="14"/>
      <c r="B530" s="15"/>
      <c r="C530" s="16"/>
      <c r="D530" s="14"/>
      <c r="E530" s="17"/>
      <c r="F530" s="17"/>
      <c r="G530" s="17"/>
      <c r="H530" s="17"/>
      <c r="I530" s="17"/>
      <c r="J530" s="18"/>
      <c r="K530" s="19"/>
      <c r="L530" s="17"/>
      <c r="M530" s="14"/>
      <c r="N530" s="17"/>
      <c r="O530" s="17"/>
    </row>
    <row r="531" spans="1:15">
      <c r="A531" s="14"/>
      <c r="B531" s="15"/>
      <c r="C531" s="16"/>
      <c r="D531" s="14"/>
      <c r="E531" s="17"/>
      <c r="F531" s="17"/>
      <c r="G531" s="17"/>
      <c r="H531" s="17"/>
      <c r="I531" s="17"/>
      <c r="J531" s="18"/>
      <c r="K531" s="19"/>
      <c r="L531" s="17"/>
      <c r="M531" s="14"/>
      <c r="N531" s="17"/>
      <c r="O531" s="17"/>
    </row>
    <row r="532" spans="1:15">
      <c r="A532" s="14"/>
      <c r="B532" s="15"/>
      <c r="C532" s="16"/>
      <c r="D532" s="14"/>
      <c r="E532" s="17"/>
      <c r="F532" s="17"/>
      <c r="G532" s="17"/>
      <c r="H532" s="17"/>
      <c r="I532" s="17"/>
      <c r="J532" s="18"/>
      <c r="K532" s="19"/>
      <c r="L532" s="17"/>
      <c r="M532" s="14"/>
      <c r="N532" s="17"/>
      <c r="O532" s="17"/>
    </row>
    <row r="533" spans="1:15">
      <c r="A533" s="14"/>
      <c r="B533" s="15"/>
      <c r="C533" s="16"/>
      <c r="D533" s="14"/>
      <c r="E533" s="17"/>
      <c r="F533" s="17"/>
      <c r="G533" s="17"/>
      <c r="H533" s="17"/>
      <c r="I533" s="17"/>
      <c r="J533" s="18"/>
      <c r="K533" s="19"/>
      <c r="L533" s="17"/>
      <c r="M533" s="14"/>
      <c r="N533" s="17"/>
      <c r="O533" s="17"/>
    </row>
    <row r="534" spans="1:15">
      <c r="A534" s="14"/>
      <c r="B534" s="15"/>
      <c r="C534" s="16"/>
      <c r="D534" s="14"/>
      <c r="E534" s="17"/>
      <c r="F534" s="17"/>
      <c r="G534" s="17"/>
      <c r="H534" s="17"/>
      <c r="I534" s="17"/>
      <c r="J534" s="18"/>
      <c r="K534" s="19"/>
      <c r="L534" s="17"/>
      <c r="M534" s="14"/>
      <c r="N534" s="17"/>
      <c r="O534" s="17"/>
    </row>
    <row r="535" spans="1:15">
      <c r="A535" s="14"/>
      <c r="B535" s="15"/>
      <c r="C535" s="16"/>
      <c r="D535" s="14"/>
      <c r="E535" s="17"/>
      <c r="F535" s="17"/>
      <c r="G535" s="17"/>
      <c r="H535" s="17"/>
      <c r="I535" s="17"/>
      <c r="J535" s="18"/>
      <c r="K535" s="19"/>
      <c r="L535" s="17"/>
      <c r="M535" s="14"/>
      <c r="N535" s="17"/>
      <c r="O535" s="17"/>
    </row>
    <row r="536" spans="1:15">
      <c r="A536" s="14"/>
      <c r="B536" s="15"/>
      <c r="C536" s="16"/>
      <c r="D536" s="14"/>
      <c r="E536" s="17"/>
      <c r="F536" s="17"/>
      <c r="G536" s="17"/>
      <c r="H536" s="17"/>
      <c r="I536" s="17"/>
      <c r="J536" s="18"/>
      <c r="K536" s="19"/>
      <c r="L536" s="17"/>
      <c r="M536" s="14"/>
      <c r="N536" s="17"/>
      <c r="O536" s="17"/>
    </row>
    <row r="537" spans="1:15">
      <c r="A537" s="14"/>
      <c r="B537" s="15"/>
      <c r="C537" s="16"/>
      <c r="D537" s="14"/>
      <c r="E537" s="17"/>
      <c r="F537" s="17"/>
      <c r="G537" s="17"/>
      <c r="H537" s="17"/>
      <c r="I537" s="17"/>
      <c r="J537" s="18"/>
      <c r="K537" s="19"/>
      <c r="L537" s="17"/>
      <c r="M537" s="14"/>
      <c r="N537" s="17"/>
      <c r="O537" s="17"/>
    </row>
    <row r="538" spans="1:15">
      <c r="A538" s="14"/>
      <c r="B538" s="15"/>
      <c r="C538" s="16"/>
      <c r="D538" s="14"/>
      <c r="E538" s="17"/>
      <c r="F538" s="17"/>
      <c r="G538" s="17"/>
      <c r="H538" s="17"/>
      <c r="I538" s="17"/>
      <c r="J538" s="18"/>
      <c r="K538" s="19"/>
      <c r="L538" s="17"/>
      <c r="M538" s="14"/>
      <c r="N538" s="17"/>
      <c r="O538" s="17"/>
    </row>
    <row r="539" spans="1:15">
      <c r="A539" s="14"/>
      <c r="B539" s="15"/>
      <c r="C539" s="16"/>
      <c r="D539" s="14"/>
      <c r="E539" s="17"/>
      <c r="F539" s="17"/>
      <c r="G539" s="17"/>
      <c r="H539" s="17"/>
      <c r="I539" s="17"/>
      <c r="J539" s="18"/>
      <c r="K539" s="19"/>
      <c r="L539" s="17"/>
      <c r="M539" s="14"/>
      <c r="N539" s="17"/>
      <c r="O539" s="17"/>
    </row>
    <row r="540" spans="1:15">
      <c r="A540" s="14"/>
      <c r="B540" s="15"/>
      <c r="C540" s="16"/>
      <c r="D540" s="14"/>
      <c r="E540" s="17"/>
      <c r="F540" s="17"/>
      <c r="G540" s="17"/>
      <c r="H540" s="17"/>
      <c r="I540" s="17"/>
      <c r="J540" s="18"/>
      <c r="K540" s="19"/>
      <c r="L540" s="17"/>
      <c r="M540" s="14"/>
      <c r="N540" s="17"/>
      <c r="O540" s="17"/>
    </row>
    <row r="541" spans="1:15">
      <c r="A541" s="14"/>
      <c r="B541" s="15"/>
      <c r="C541" s="16"/>
      <c r="D541" s="14"/>
      <c r="E541" s="17"/>
      <c r="F541" s="17"/>
      <c r="G541" s="17"/>
      <c r="H541" s="17"/>
      <c r="I541" s="17"/>
      <c r="J541" s="18"/>
      <c r="K541" s="19"/>
      <c r="L541" s="17"/>
      <c r="M541" s="14"/>
      <c r="N541" s="17"/>
      <c r="O541" s="17"/>
    </row>
    <row r="542" spans="1:15">
      <c r="A542" s="14"/>
      <c r="B542" s="15"/>
      <c r="C542" s="16"/>
      <c r="D542" s="14"/>
      <c r="E542" s="17"/>
      <c r="F542" s="17"/>
      <c r="G542" s="17"/>
      <c r="H542" s="17"/>
      <c r="I542" s="17"/>
      <c r="J542" s="18"/>
      <c r="K542" s="19"/>
      <c r="L542" s="17"/>
      <c r="M542" s="14"/>
      <c r="N542" s="17"/>
      <c r="O542" s="17"/>
    </row>
    <row r="543" spans="1:15">
      <c r="A543" s="14"/>
      <c r="B543" s="15"/>
      <c r="C543" s="16"/>
      <c r="D543" s="14"/>
      <c r="E543" s="17"/>
      <c r="F543" s="17"/>
      <c r="G543" s="17"/>
      <c r="H543" s="17"/>
      <c r="I543" s="17"/>
      <c r="J543" s="18"/>
      <c r="K543" s="19"/>
      <c r="L543" s="17"/>
      <c r="M543" s="14"/>
      <c r="N543" s="17"/>
      <c r="O543" s="17"/>
    </row>
    <row r="544" spans="1:15">
      <c r="A544" s="14"/>
      <c r="B544" s="15"/>
      <c r="C544" s="16"/>
      <c r="D544" s="14"/>
      <c r="E544" s="17"/>
      <c r="F544" s="17"/>
      <c r="G544" s="17"/>
      <c r="H544" s="17"/>
      <c r="I544" s="17"/>
      <c r="J544" s="18"/>
      <c r="K544" s="19"/>
      <c r="L544" s="17"/>
      <c r="M544" s="14"/>
      <c r="N544" s="17"/>
      <c r="O544" s="17"/>
    </row>
    <row r="545" spans="1:15">
      <c r="A545" s="14"/>
      <c r="B545" s="15"/>
      <c r="C545" s="16"/>
      <c r="D545" s="14"/>
      <c r="E545" s="17"/>
      <c r="F545" s="17"/>
      <c r="G545" s="17"/>
      <c r="H545" s="17"/>
      <c r="I545" s="17"/>
      <c r="J545" s="18"/>
      <c r="K545" s="19"/>
      <c r="L545" s="17"/>
      <c r="M545" s="14"/>
      <c r="N545" s="17"/>
      <c r="O545" s="17"/>
    </row>
    <row r="546" spans="1:15">
      <c r="A546" s="14"/>
      <c r="B546" s="15"/>
      <c r="C546" s="16"/>
      <c r="D546" s="14"/>
      <c r="E546" s="17"/>
      <c r="F546" s="17"/>
      <c r="G546" s="17"/>
      <c r="H546" s="17"/>
      <c r="I546" s="17"/>
      <c r="J546" s="18"/>
      <c r="K546" s="19"/>
      <c r="L546" s="17"/>
      <c r="M546" s="14"/>
      <c r="N546" s="17"/>
      <c r="O546" s="17"/>
    </row>
    <row r="547" spans="1:15">
      <c r="A547" s="14"/>
      <c r="B547" s="15"/>
      <c r="C547" s="16"/>
      <c r="D547" s="14"/>
      <c r="E547" s="17"/>
      <c r="F547" s="17"/>
      <c r="G547" s="17"/>
      <c r="H547" s="17"/>
      <c r="I547" s="17"/>
      <c r="J547" s="18"/>
      <c r="K547" s="19"/>
      <c r="L547" s="17"/>
      <c r="M547" s="14"/>
      <c r="N547" s="17"/>
      <c r="O547" s="17"/>
    </row>
    <row r="548" spans="1:15">
      <c r="A548" s="14"/>
      <c r="B548" s="15"/>
      <c r="C548" s="16"/>
      <c r="D548" s="14"/>
      <c r="E548" s="17"/>
      <c r="F548" s="17"/>
      <c r="G548" s="17"/>
      <c r="H548" s="17"/>
      <c r="I548" s="17"/>
      <c r="J548" s="18"/>
      <c r="K548" s="19"/>
      <c r="L548" s="17"/>
      <c r="M548" s="14"/>
      <c r="N548" s="17"/>
      <c r="O548" s="17"/>
    </row>
    <row r="549" spans="1:15">
      <c r="A549" s="14"/>
      <c r="B549" s="15"/>
      <c r="C549" s="16"/>
      <c r="D549" s="14"/>
      <c r="E549" s="17"/>
      <c r="F549" s="17"/>
      <c r="G549" s="17"/>
      <c r="H549" s="17"/>
      <c r="I549" s="17"/>
      <c r="J549" s="18"/>
      <c r="K549" s="19"/>
      <c r="L549" s="17"/>
      <c r="M549" s="14"/>
      <c r="N549" s="17"/>
      <c r="O549" s="17"/>
    </row>
    <row r="550" spans="1:15">
      <c r="A550" s="14"/>
      <c r="B550" s="15"/>
      <c r="C550" s="16"/>
      <c r="D550" s="14"/>
      <c r="E550" s="17"/>
      <c r="F550" s="17"/>
      <c r="G550" s="17"/>
      <c r="H550" s="17"/>
      <c r="I550" s="17"/>
      <c r="J550" s="18"/>
      <c r="K550" s="19"/>
      <c r="L550" s="17"/>
      <c r="M550" s="14"/>
      <c r="N550" s="17"/>
      <c r="O550" s="17"/>
    </row>
    <row r="551" spans="1:15">
      <c r="A551" s="14"/>
      <c r="B551" s="15"/>
      <c r="C551" s="16"/>
      <c r="D551" s="14"/>
      <c r="E551" s="17"/>
      <c r="F551" s="17"/>
      <c r="G551" s="17"/>
      <c r="H551" s="17"/>
      <c r="I551" s="17"/>
      <c r="J551" s="18"/>
      <c r="K551" s="19"/>
      <c r="L551" s="17"/>
      <c r="M551" s="14"/>
      <c r="N551" s="17"/>
      <c r="O551" s="17"/>
    </row>
    <row r="552" spans="1:15">
      <c r="A552" s="14"/>
      <c r="B552" s="15"/>
      <c r="C552" s="16"/>
      <c r="D552" s="14"/>
      <c r="E552" s="17"/>
      <c r="F552" s="17"/>
      <c r="G552" s="17"/>
      <c r="H552" s="17"/>
      <c r="I552" s="17"/>
      <c r="J552" s="18"/>
      <c r="K552" s="19"/>
      <c r="L552" s="17"/>
      <c r="M552" s="14"/>
      <c r="N552" s="17"/>
      <c r="O552" s="17"/>
    </row>
    <row r="553" spans="1:15">
      <c r="A553" s="14"/>
      <c r="B553" s="15"/>
      <c r="C553" s="16"/>
      <c r="D553" s="14"/>
      <c r="E553" s="17"/>
      <c r="F553" s="17"/>
      <c r="G553" s="17"/>
      <c r="H553" s="17"/>
      <c r="I553" s="17"/>
      <c r="J553" s="18"/>
      <c r="K553" s="19"/>
      <c r="L553" s="17"/>
      <c r="M553" s="14"/>
      <c r="N553" s="17"/>
      <c r="O553" s="17"/>
    </row>
    <row r="554" spans="1:15">
      <c r="A554" s="14"/>
      <c r="B554" s="15"/>
      <c r="C554" s="16"/>
      <c r="D554" s="14"/>
      <c r="E554" s="17"/>
      <c r="F554" s="17"/>
      <c r="G554" s="17"/>
      <c r="H554" s="17"/>
      <c r="I554" s="17"/>
      <c r="J554" s="18"/>
      <c r="K554" s="19"/>
      <c r="L554" s="17"/>
      <c r="M554" s="14"/>
      <c r="N554" s="17"/>
      <c r="O554" s="17"/>
    </row>
    <row r="555" spans="1:15">
      <c r="A555" s="14"/>
      <c r="B555" s="15"/>
      <c r="C555" s="16"/>
      <c r="D555" s="14"/>
      <c r="E555" s="17"/>
      <c r="F555" s="17"/>
      <c r="G555" s="17"/>
      <c r="H555" s="17"/>
      <c r="I555" s="17"/>
      <c r="J555" s="18"/>
      <c r="K555" s="19"/>
      <c r="L555" s="17"/>
      <c r="M555" s="14"/>
      <c r="N555" s="17"/>
      <c r="O555" s="17"/>
    </row>
    <row r="556" spans="1:15">
      <c r="A556" s="14"/>
      <c r="B556" s="15"/>
      <c r="C556" s="16"/>
      <c r="D556" s="14"/>
      <c r="E556" s="17"/>
      <c r="F556" s="17"/>
      <c r="G556" s="17"/>
      <c r="H556" s="17"/>
      <c r="I556" s="17"/>
      <c r="J556" s="18"/>
      <c r="K556" s="19"/>
      <c r="L556" s="17"/>
      <c r="M556" s="14"/>
      <c r="N556" s="17"/>
      <c r="O556" s="17"/>
    </row>
    <row r="557" spans="1:15">
      <c r="A557" s="14"/>
      <c r="B557" s="15"/>
      <c r="C557" s="16"/>
      <c r="D557" s="14"/>
      <c r="E557" s="17"/>
      <c r="F557" s="17"/>
      <c r="G557" s="17"/>
      <c r="H557" s="17"/>
      <c r="I557" s="17"/>
      <c r="J557" s="18"/>
      <c r="K557" s="19"/>
      <c r="L557" s="17"/>
      <c r="M557" s="14"/>
      <c r="N557" s="17"/>
      <c r="O557" s="17"/>
    </row>
    <row r="558" spans="1:15">
      <c r="A558" s="14"/>
      <c r="B558" s="15"/>
      <c r="C558" s="16"/>
      <c r="D558" s="14"/>
      <c r="E558" s="17"/>
      <c r="F558" s="17"/>
      <c r="G558" s="17"/>
      <c r="H558" s="17"/>
      <c r="I558" s="17"/>
      <c r="J558" s="18"/>
      <c r="K558" s="19"/>
      <c r="L558" s="17"/>
      <c r="M558" s="14"/>
      <c r="N558" s="17"/>
      <c r="O558" s="17"/>
    </row>
    <row r="559" spans="1:15">
      <c r="A559" s="14"/>
      <c r="B559" s="15"/>
      <c r="C559" s="16"/>
      <c r="D559" s="14"/>
      <c r="E559" s="17"/>
      <c r="F559" s="17"/>
      <c r="G559" s="17"/>
      <c r="H559" s="17"/>
      <c r="I559" s="17"/>
      <c r="J559" s="18"/>
      <c r="K559" s="19"/>
      <c r="L559" s="17"/>
      <c r="M559" s="14"/>
      <c r="N559" s="17"/>
      <c r="O559" s="17"/>
    </row>
    <row r="560" spans="1:15">
      <c r="A560" s="14"/>
      <c r="B560" s="15"/>
      <c r="C560" s="16"/>
      <c r="D560" s="14"/>
      <c r="E560" s="17"/>
      <c r="F560" s="17"/>
      <c r="G560" s="17"/>
      <c r="H560" s="17"/>
      <c r="I560" s="17"/>
      <c r="J560" s="18"/>
      <c r="K560" s="19"/>
      <c r="L560" s="17"/>
      <c r="M560" s="14"/>
      <c r="N560" s="17"/>
      <c r="O560" s="17"/>
    </row>
    <row r="561" spans="1:15">
      <c r="A561" s="14"/>
      <c r="B561" s="15"/>
      <c r="C561" s="16"/>
      <c r="D561" s="14"/>
      <c r="E561" s="17"/>
      <c r="F561" s="17"/>
      <c r="G561" s="17"/>
      <c r="H561" s="17"/>
      <c r="I561" s="17"/>
      <c r="J561" s="18"/>
      <c r="K561" s="19"/>
      <c r="L561" s="17"/>
      <c r="M561" s="14"/>
      <c r="N561" s="17"/>
      <c r="O561" s="17"/>
    </row>
    <row r="562" spans="1:15">
      <c r="A562" s="14"/>
      <c r="B562" s="15"/>
      <c r="C562" s="16"/>
      <c r="D562" s="14"/>
      <c r="E562" s="17"/>
      <c r="F562" s="17"/>
      <c r="G562" s="17"/>
      <c r="H562" s="17"/>
      <c r="I562" s="17"/>
      <c r="J562" s="18"/>
      <c r="K562" s="19"/>
      <c r="L562" s="17"/>
      <c r="M562" s="14"/>
      <c r="N562" s="17"/>
      <c r="O562" s="17"/>
    </row>
    <row r="563" spans="1:15">
      <c r="A563" s="14"/>
      <c r="B563" s="15"/>
      <c r="C563" s="16"/>
      <c r="D563" s="14"/>
      <c r="E563" s="17"/>
      <c r="F563" s="17"/>
      <c r="G563" s="17"/>
      <c r="H563" s="17"/>
      <c r="I563" s="17"/>
      <c r="J563" s="18"/>
      <c r="K563" s="19"/>
      <c r="L563" s="17"/>
      <c r="M563" s="14"/>
      <c r="N563" s="17"/>
      <c r="O563" s="17"/>
    </row>
    <row r="564" spans="1:15">
      <c r="A564" s="14"/>
      <c r="B564" s="15"/>
      <c r="C564" s="16"/>
      <c r="D564" s="14"/>
      <c r="E564" s="17"/>
      <c r="F564" s="17"/>
      <c r="G564" s="17"/>
      <c r="H564" s="17"/>
      <c r="I564" s="17"/>
      <c r="J564" s="18"/>
      <c r="K564" s="19"/>
      <c r="L564" s="17"/>
      <c r="M564" s="14"/>
      <c r="N564" s="17"/>
      <c r="O564" s="17"/>
    </row>
    <row r="565" spans="1:15">
      <c r="A565" s="14"/>
      <c r="B565" s="15"/>
      <c r="C565" s="16"/>
      <c r="D565" s="14"/>
      <c r="E565" s="17"/>
      <c r="F565" s="17"/>
      <c r="G565" s="17"/>
      <c r="H565" s="17"/>
      <c r="I565" s="17"/>
      <c r="J565" s="18"/>
      <c r="K565" s="19"/>
      <c r="L565" s="17"/>
      <c r="M565" s="14"/>
      <c r="N565" s="17"/>
      <c r="O565" s="17"/>
    </row>
    <row r="566" spans="1:15">
      <c r="A566" s="14"/>
      <c r="B566" s="15"/>
      <c r="C566" s="16"/>
      <c r="D566" s="14"/>
      <c r="E566" s="17"/>
      <c r="F566" s="17"/>
      <c r="G566" s="17"/>
      <c r="H566" s="17"/>
      <c r="I566" s="17"/>
      <c r="J566" s="18"/>
      <c r="K566" s="19"/>
      <c r="L566" s="17"/>
      <c r="M566" s="14"/>
      <c r="N566" s="17"/>
      <c r="O566" s="17"/>
    </row>
    <row r="567" spans="1:15">
      <c r="A567" s="14"/>
      <c r="B567" s="15"/>
      <c r="C567" s="16"/>
      <c r="D567" s="14"/>
      <c r="E567" s="17"/>
      <c r="F567" s="17"/>
      <c r="G567" s="17"/>
      <c r="H567" s="17"/>
      <c r="I567" s="17"/>
      <c r="J567" s="18"/>
      <c r="K567" s="19"/>
      <c r="L567" s="17"/>
      <c r="M567" s="14"/>
      <c r="N567" s="17"/>
      <c r="O567" s="17"/>
    </row>
    <row r="568" spans="1:15">
      <c r="A568" s="14"/>
      <c r="B568" s="15"/>
      <c r="C568" s="16"/>
      <c r="D568" s="14"/>
      <c r="E568" s="17"/>
      <c r="F568" s="17"/>
      <c r="G568" s="17"/>
      <c r="H568" s="17"/>
      <c r="I568" s="17"/>
      <c r="J568" s="18"/>
      <c r="K568" s="19"/>
      <c r="L568" s="17"/>
      <c r="M568" s="14"/>
      <c r="N568" s="17"/>
      <c r="O568" s="17"/>
    </row>
    <row r="569" spans="1:15">
      <c r="A569" s="14"/>
      <c r="B569" s="15"/>
      <c r="C569" s="16"/>
      <c r="D569" s="14"/>
      <c r="E569" s="17"/>
      <c r="F569" s="17"/>
      <c r="G569" s="17"/>
      <c r="H569" s="17"/>
      <c r="I569" s="17"/>
      <c r="J569" s="18"/>
      <c r="K569" s="19"/>
      <c r="L569" s="17"/>
      <c r="M569" s="14"/>
      <c r="N569" s="17"/>
      <c r="O569" s="17"/>
    </row>
    <row r="570" spans="1:15">
      <c r="A570" s="14"/>
      <c r="B570" s="15"/>
      <c r="C570" s="16"/>
      <c r="D570" s="14"/>
      <c r="E570" s="17"/>
      <c r="F570" s="17"/>
      <c r="G570" s="17"/>
      <c r="H570" s="17"/>
      <c r="I570" s="17"/>
      <c r="J570" s="18"/>
      <c r="K570" s="19"/>
      <c r="L570" s="17"/>
      <c r="M570" s="14"/>
      <c r="N570" s="17"/>
      <c r="O570" s="17"/>
    </row>
    <row r="571" spans="1:15">
      <c r="A571" s="14"/>
      <c r="B571" s="15"/>
      <c r="C571" s="16"/>
      <c r="D571" s="14"/>
      <c r="E571" s="17"/>
      <c r="F571" s="17"/>
      <c r="G571" s="17"/>
      <c r="H571" s="17"/>
      <c r="I571" s="17"/>
      <c r="J571" s="18"/>
      <c r="K571" s="19"/>
      <c r="L571" s="17"/>
      <c r="M571" s="14"/>
      <c r="N571" s="17"/>
      <c r="O571" s="17"/>
    </row>
    <row r="572" spans="1:15">
      <c r="A572" s="14"/>
      <c r="B572" s="15"/>
      <c r="C572" s="16"/>
      <c r="D572" s="14"/>
      <c r="E572" s="17"/>
      <c r="F572" s="17"/>
      <c r="G572" s="17"/>
      <c r="H572" s="17"/>
      <c r="I572" s="17"/>
      <c r="J572" s="18"/>
      <c r="K572" s="19"/>
      <c r="L572" s="17"/>
      <c r="M572" s="14"/>
      <c r="N572" s="17"/>
      <c r="O572" s="17"/>
    </row>
    <row r="573" spans="1:15">
      <c r="A573" s="14"/>
      <c r="B573" s="15"/>
      <c r="C573" s="16"/>
      <c r="D573" s="14"/>
      <c r="E573" s="17"/>
      <c r="F573" s="17"/>
      <c r="G573" s="17"/>
      <c r="H573" s="17"/>
      <c r="I573" s="17"/>
      <c r="J573" s="18"/>
      <c r="K573" s="19"/>
      <c r="L573" s="17"/>
      <c r="M573" s="14"/>
      <c r="N573" s="17"/>
      <c r="O573" s="17"/>
    </row>
    <row r="574" spans="1:15">
      <c r="A574" s="14"/>
      <c r="B574" s="15"/>
      <c r="C574" s="16"/>
      <c r="D574" s="14"/>
      <c r="E574" s="17"/>
      <c r="F574" s="17"/>
      <c r="G574" s="17"/>
      <c r="H574" s="17"/>
      <c r="I574" s="17"/>
      <c r="J574" s="18"/>
      <c r="K574" s="19"/>
      <c r="L574" s="17"/>
      <c r="M574" s="14"/>
      <c r="N574" s="17"/>
      <c r="O574" s="17"/>
    </row>
    <row r="575" spans="1:15">
      <c r="A575" s="14"/>
      <c r="B575" s="15"/>
      <c r="C575" s="16"/>
      <c r="D575" s="14"/>
      <c r="E575" s="17"/>
      <c r="F575" s="17"/>
      <c r="G575" s="17"/>
      <c r="H575" s="17"/>
      <c r="I575" s="17"/>
      <c r="J575" s="18"/>
      <c r="K575" s="19"/>
      <c r="L575" s="17"/>
      <c r="M575" s="14"/>
      <c r="N575" s="17"/>
      <c r="O575" s="17"/>
    </row>
    <row r="576" spans="1:15">
      <c r="A576" s="14"/>
      <c r="B576" s="15"/>
      <c r="C576" s="16"/>
      <c r="D576" s="14"/>
      <c r="E576" s="17"/>
      <c r="F576" s="17"/>
      <c r="G576" s="17"/>
      <c r="H576" s="17"/>
      <c r="I576" s="17"/>
      <c r="J576" s="18"/>
      <c r="K576" s="19"/>
      <c r="L576" s="17"/>
      <c r="M576" s="14"/>
      <c r="N576" s="17"/>
      <c r="O576" s="17"/>
    </row>
    <row r="577" spans="1:15">
      <c r="A577" s="14"/>
      <c r="B577" s="15"/>
      <c r="C577" s="16"/>
      <c r="D577" s="14"/>
      <c r="E577" s="17"/>
      <c r="F577" s="17"/>
      <c r="G577" s="17"/>
      <c r="H577" s="17"/>
      <c r="I577" s="17"/>
      <c r="J577" s="18"/>
      <c r="K577" s="19"/>
      <c r="L577" s="17"/>
      <c r="M577" s="14"/>
      <c r="N577" s="17"/>
      <c r="O577" s="17"/>
    </row>
    <row r="578" spans="1:15">
      <c r="A578" s="14"/>
      <c r="B578" s="15"/>
      <c r="C578" s="16"/>
      <c r="D578" s="14"/>
      <c r="E578" s="17"/>
      <c r="F578" s="17"/>
      <c r="G578" s="17"/>
      <c r="H578" s="17"/>
      <c r="I578" s="17"/>
      <c r="J578" s="18"/>
      <c r="K578" s="19"/>
      <c r="L578" s="17"/>
      <c r="M578" s="14"/>
      <c r="N578" s="17"/>
      <c r="O578" s="17"/>
    </row>
    <row r="579" spans="1:15">
      <c r="A579" s="14"/>
      <c r="B579" s="15"/>
      <c r="C579" s="16"/>
      <c r="D579" s="14"/>
      <c r="E579" s="17"/>
      <c r="F579" s="17"/>
      <c r="G579" s="17"/>
      <c r="H579" s="17"/>
      <c r="I579" s="17"/>
      <c r="J579" s="18"/>
      <c r="K579" s="19"/>
      <c r="L579" s="17"/>
      <c r="M579" s="14"/>
      <c r="N579" s="17"/>
      <c r="O579" s="17"/>
    </row>
    <row r="580" spans="1:15">
      <c r="A580" s="14"/>
      <c r="B580" s="15"/>
      <c r="C580" s="16"/>
      <c r="D580" s="14"/>
      <c r="E580" s="17"/>
      <c r="F580" s="17"/>
      <c r="G580" s="17"/>
      <c r="H580" s="17"/>
      <c r="I580" s="17"/>
      <c r="J580" s="18"/>
      <c r="K580" s="19"/>
      <c r="L580" s="17"/>
      <c r="M580" s="14"/>
      <c r="N580" s="17"/>
      <c r="O580" s="17"/>
    </row>
    <row r="581" spans="1:15">
      <c r="A581" s="14"/>
      <c r="B581" s="15"/>
      <c r="C581" s="16"/>
      <c r="D581" s="14"/>
      <c r="E581" s="17"/>
      <c r="F581" s="17"/>
      <c r="G581" s="17"/>
      <c r="H581" s="17"/>
      <c r="I581" s="17"/>
      <c r="J581" s="18"/>
      <c r="K581" s="19"/>
      <c r="L581" s="17"/>
      <c r="M581" s="14"/>
      <c r="N581" s="17"/>
      <c r="O581" s="17"/>
    </row>
    <row r="582" spans="1:15">
      <c r="A582" s="14"/>
      <c r="B582" s="15"/>
      <c r="C582" s="16"/>
      <c r="D582" s="14"/>
      <c r="E582" s="17"/>
      <c r="F582" s="17"/>
      <c r="G582" s="17"/>
      <c r="H582" s="17"/>
      <c r="I582" s="17"/>
      <c r="J582" s="18"/>
      <c r="K582" s="19"/>
      <c r="L582" s="17"/>
      <c r="M582" s="14"/>
      <c r="N582" s="17"/>
      <c r="O582" s="17"/>
    </row>
    <row r="583" spans="1:15">
      <c r="A583" s="14"/>
      <c r="B583" s="15"/>
      <c r="C583" s="16"/>
      <c r="D583" s="14"/>
      <c r="E583" s="17"/>
      <c r="F583" s="17"/>
      <c r="G583" s="17"/>
      <c r="H583" s="17"/>
      <c r="I583" s="17"/>
      <c r="J583" s="18"/>
      <c r="K583" s="19"/>
      <c r="L583" s="17"/>
      <c r="M583" s="14"/>
      <c r="N583" s="17"/>
      <c r="O583" s="17"/>
    </row>
    <row r="584" spans="1:15">
      <c r="A584" s="14"/>
      <c r="B584" s="15"/>
      <c r="C584" s="16"/>
      <c r="D584" s="14"/>
      <c r="E584" s="17"/>
      <c r="F584" s="17"/>
      <c r="G584" s="17"/>
      <c r="H584" s="17"/>
      <c r="I584" s="17"/>
      <c r="J584" s="18"/>
      <c r="K584" s="19"/>
      <c r="L584" s="17"/>
      <c r="M584" s="14"/>
      <c r="N584" s="17"/>
      <c r="O584" s="17"/>
    </row>
    <row r="585" spans="1:15">
      <c r="A585" s="14"/>
      <c r="B585" s="15"/>
      <c r="C585" s="16"/>
      <c r="D585" s="14"/>
      <c r="E585" s="17"/>
      <c r="F585" s="17"/>
      <c r="G585" s="17"/>
      <c r="H585" s="17"/>
      <c r="I585" s="17"/>
      <c r="J585" s="18"/>
      <c r="K585" s="19"/>
      <c r="L585" s="17"/>
      <c r="M585" s="14"/>
      <c r="N585" s="17"/>
      <c r="O585" s="17"/>
    </row>
    <row r="586" spans="1:15">
      <c r="A586" s="14"/>
      <c r="B586" s="15"/>
      <c r="C586" s="16"/>
      <c r="D586" s="14"/>
      <c r="E586" s="17"/>
      <c r="F586" s="17"/>
      <c r="G586" s="17"/>
      <c r="H586" s="17"/>
      <c r="I586" s="17"/>
      <c r="J586" s="18"/>
      <c r="K586" s="19"/>
      <c r="L586" s="17"/>
      <c r="M586" s="14"/>
      <c r="N586" s="17"/>
      <c r="O586" s="17"/>
    </row>
    <row r="587" spans="1:15">
      <c r="A587" s="14"/>
      <c r="B587" s="15"/>
      <c r="C587" s="16"/>
      <c r="D587" s="14"/>
      <c r="E587" s="17"/>
      <c r="F587" s="17"/>
      <c r="G587" s="17"/>
      <c r="H587" s="17"/>
      <c r="I587" s="17"/>
      <c r="J587" s="18"/>
      <c r="K587" s="19"/>
      <c r="L587" s="17"/>
      <c r="M587" s="14"/>
      <c r="N587" s="17"/>
      <c r="O587" s="17"/>
    </row>
    <row r="588" spans="1:15">
      <c r="A588" s="14"/>
      <c r="B588" s="15"/>
      <c r="C588" s="16"/>
      <c r="D588" s="14"/>
      <c r="E588" s="17"/>
      <c r="F588" s="17"/>
      <c r="G588" s="17"/>
      <c r="H588" s="17"/>
      <c r="I588" s="17"/>
      <c r="J588" s="18"/>
      <c r="K588" s="19"/>
      <c r="L588" s="17"/>
      <c r="M588" s="14"/>
      <c r="N588" s="17"/>
      <c r="O588" s="17"/>
    </row>
    <row r="589" spans="1:15">
      <c r="A589" s="14"/>
      <c r="B589" s="15"/>
      <c r="C589" s="16"/>
      <c r="D589" s="14"/>
      <c r="E589" s="17"/>
      <c r="F589" s="17"/>
      <c r="G589" s="17"/>
      <c r="H589" s="17"/>
      <c r="I589" s="17"/>
      <c r="J589" s="18"/>
      <c r="K589" s="19"/>
      <c r="L589" s="17"/>
      <c r="M589" s="14"/>
      <c r="N589" s="17"/>
      <c r="O589" s="17"/>
    </row>
    <row r="590" spans="1:15">
      <c r="A590" s="14"/>
      <c r="B590" s="15"/>
      <c r="C590" s="16"/>
      <c r="D590" s="14"/>
      <c r="E590" s="17"/>
      <c r="F590" s="17"/>
      <c r="G590" s="17"/>
      <c r="H590" s="17"/>
      <c r="I590" s="17"/>
      <c r="J590" s="18"/>
      <c r="K590" s="19"/>
      <c r="L590" s="17"/>
      <c r="M590" s="14"/>
      <c r="N590" s="17"/>
      <c r="O590" s="17"/>
    </row>
    <row r="591" spans="1:15">
      <c r="A591" s="14"/>
      <c r="B591" s="15"/>
      <c r="C591" s="16"/>
      <c r="D591" s="14"/>
      <c r="E591" s="17"/>
      <c r="F591" s="17"/>
      <c r="G591" s="17"/>
      <c r="H591" s="17"/>
      <c r="I591" s="17"/>
      <c r="J591" s="18"/>
      <c r="K591" s="19"/>
      <c r="L591" s="17"/>
      <c r="M591" s="14"/>
      <c r="N591" s="17"/>
      <c r="O591" s="17"/>
    </row>
    <row r="592" spans="1:15">
      <c r="A592" s="14"/>
      <c r="B592" s="15"/>
      <c r="C592" s="16"/>
      <c r="D592" s="14"/>
      <c r="E592" s="17"/>
      <c r="F592" s="17"/>
      <c r="G592" s="17"/>
      <c r="H592" s="17"/>
      <c r="I592" s="17"/>
      <c r="J592" s="18"/>
      <c r="K592" s="19"/>
      <c r="L592" s="17"/>
      <c r="M592" s="14"/>
      <c r="N592" s="17"/>
      <c r="O592" s="17"/>
    </row>
    <row r="593" spans="1:15">
      <c r="A593" s="14"/>
      <c r="B593" s="15"/>
      <c r="C593" s="16"/>
      <c r="D593" s="14"/>
      <c r="E593" s="17"/>
      <c r="F593" s="17"/>
      <c r="G593" s="17"/>
      <c r="H593" s="17"/>
      <c r="I593" s="17"/>
      <c r="J593" s="18"/>
      <c r="K593" s="19"/>
      <c r="L593" s="17"/>
      <c r="M593" s="14"/>
      <c r="N593" s="17"/>
      <c r="O593" s="17"/>
    </row>
    <row r="594" spans="1:15">
      <c r="A594" s="14"/>
      <c r="B594" s="15"/>
      <c r="C594" s="16"/>
      <c r="D594" s="14"/>
      <c r="E594" s="17"/>
      <c r="F594" s="17"/>
      <c r="G594" s="17"/>
      <c r="H594" s="17"/>
      <c r="I594" s="17"/>
      <c r="J594" s="18"/>
      <c r="K594" s="19"/>
      <c r="L594" s="17"/>
      <c r="M594" s="14"/>
      <c r="N594" s="17"/>
      <c r="O594" s="17"/>
    </row>
    <row r="595" spans="1:15">
      <c r="A595" s="14"/>
      <c r="B595" s="15"/>
      <c r="C595" s="16"/>
      <c r="D595" s="14"/>
      <c r="E595" s="17"/>
      <c r="F595" s="17"/>
      <c r="G595" s="17"/>
      <c r="H595" s="17"/>
      <c r="I595" s="17"/>
      <c r="J595" s="18"/>
      <c r="K595" s="19"/>
      <c r="L595" s="17"/>
      <c r="M595" s="14"/>
      <c r="N595" s="17"/>
      <c r="O595" s="17"/>
    </row>
    <row r="596" spans="1:15">
      <c r="A596" s="14"/>
      <c r="B596" s="15"/>
      <c r="C596" s="16"/>
      <c r="D596" s="14"/>
      <c r="E596" s="17"/>
      <c r="F596" s="17"/>
      <c r="G596" s="17"/>
      <c r="H596" s="17"/>
      <c r="I596" s="17"/>
      <c r="J596" s="18"/>
      <c r="K596" s="19"/>
      <c r="L596" s="17"/>
      <c r="M596" s="14"/>
      <c r="N596" s="17"/>
      <c r="O596" s="17"/>
    </row>
    <row r="597" spans="1:15">
      <c r="A597" s="14"/>
      <c r="B597" s="15"/>
      <c r="C597" s="16"/>
      <c r="D597" s="14"/>
      <c r="E597" s="17"/>
      <c r="F597" s="17"/>
      <c r="G597" s="17"/>
      <c r="H597" s="17"/>
      <c r="I597" s="17"/>
      <c r="J597" s="18"/>
      <c r="K597" s="19"/>
      <c r="L597" s="17"/>
      <c r="M597" s="14"/>
      <c r="N597" s="17"/>
      <c r="O597" s="17"/>
    </row>
    <row r="598" spans="1:15">
      <c r="A598" s="14"/>
      <c r="B598" s="15"/>
      <c r="C598" s="16"/>
      <c r="D598" s="14"/>
      <c r="E598" s="17"/>
      <c r="F598" s="17"/>
      <c r="G598" s="17"/>
      <c r="H598" s="17"/>
      <c r="I598" s="17"/>
      <c r="J598" s="18"/>
      <c r="K598" s="19"/>
      <c r="L598" s="17"/>
      <c r="M598" s="14"/>
      <c r="N598" s="17"/>
      <c r="O598" s="17"/>
    </row>
    <row r="599" spans="1:15">
      <c r="A599" s="14"/>
      <c r="B599" s="15"/>
      <c r="C599" s="16"/>
      <c r="D599" s="14"/>
      <c r="E599" s="17"/>
      <c r="F599" s="17"/>
      <c r="G599" s="17"/>
      <c r="H599" s="17"/>
      <c r="I599" s="17"/>
      <c r="J599" s="18"/>
      <c r="K599" s="19"/>
      <c r="L599" s="17"/>
      <c r="M599" s="14"/>
      <c r="N599" s="17"/>
      <c r="O599" s="17"/>
    </row>
    <row r="600" spans="1:15">
      <c r="A600" s="14"/>
      <c r="B600" s="15"/>
      <c r="C600" s="16"/>
      <c r="D600" s="14"/>
      <c r="E600" s="17"/>
      <c r="F600" s="17"/>
      <c r="G600" s="17"/>
      <c r="H600" s="17"/>
      <c r="I600" s="17"/>
      <c r="J600" s="18"/>
      <c r="K600" s="19"/>
      <c r="L600" s="17"/>
      <c r="M600" s="14"/>
      <c r="N600" s="17"/>
      <c r="O600" s="17"/>
    </row>
    <row r="601" spans="1:15">
      <c r="A601" s="14"/>
      <c r="B601" s="15"/>
      <c r="C601" s="16"/>
      <c r="D601" s="14"/>
      <c r="E601" s="17"/>
      <c r="F601" s="17"/>
      <c r="G601" s="17"/>
      <c r="H601" s="17"/>
      <c r="I601" s="17"/>
      <c r="J601" s="18"/>
      <c r="K601" s="19"/>
      <c r="L601" s="17"/>
      <c r="M601" s="14"/>
      <c r="N601" s="17"/>
      <c r="O601" s="17"/>
    </row>
    <row r="602" spans="1:15">
      <c r="A602" s="14"/>
      <c r="B602" s="15"/>
      <c r="C602" s="16"/>
      <c r="D602" s="14"/>
      <c r="E602" s="17"/>
      <c r="F602" s="17"/>
      <c r="G602" s="17"/>
      <c r="H602" s="17"/>
      <c r="I602" s="17"/>
      <c r="J602" s="18"/>
      <c r="K602" s="19"/>
      <c r="L602" s="17"/>
      <c r="M602" s="14"/>
      <c r="N602" s="17"/>
      <c r="O602" s="17"/>
    </row>
    <row r="603" spans="1:15">
      <c r="A603" s="14"/>
      <c r="B603" s="15"/>
      <c r="C603" s="16"/>
      <c r="D603" s="14"/>
      <c r="E603" s="17"/>
      <c r="F603" s="17"/>
      <c r="G603" s="17"/>
      <c r="H603" s="17"/>
      <c r="I603" s="17"/>
      <c r="J603" s="18"/>
      <c r="K603" s="19"/>
      <c r="L603" s="17"/>
      <c r="M603" s="14"/>
      <c r="N603" s="17"/>
      <c r="O603" s="17"/>
    </row>
    <row r="604" spans="1:15">
      <c r="A604" s="14"/>
      <c r="B604" s="15"/>
      <c r="C604" s="16"/>
      <c r="D604" s="14"/>
      <c r="E604" s="17"/>
      <c r="F604" s="17"/>
      <c r="G604" s="17"/>
      <c r="H604" s="17"/>
      <c r="I604" s="17"/>
      <c r="J604" s="18"/>
      <c r="K604" s="19"/>
      <c r="L604" s="17"/>
      <c r="M604" s="14"/>
      <c r="N604" s="17"/>
      <c r="O604" s="17"/>
    </row>
    <row r="605" spans="1:15">
      <c r="A605" s="14"/>
      <c r="B605" s="15"/>
      <c r="C605" s="16"/>
      <c r="D605" s="14"/>
      <c r="E605" s="17"/>
      <c r="F605" s="17"/>
      <c r="G605" s="17"/>
      <c r="H605" s="17"/>
      <c r="I605" s="17"/>
      <c r="J605" s="18"/>
      <c r="K605" s="19"/>
      <c r="L605" s="17"/>
      <c r="M605" s="14"/>
      <c r="N605" s="17"/>
      <c r="O605" s="17"/>
    </row>
    <row r="606" spans="1:15">
      <c r="A606" s="14"/>
      <c r="B606" s="15"/>
      <c r="C606" s="16"/>
      <c r="D606" s="14"/>
      <c r="E606" s="17"/>
      <c r="F606" s="17"/>
      <c r="G606" s="17"/>
      <c r="H606" s="17"/>
      <c r="I606" s="17"/>
      <c r="J606" s="18"/>
      <c r="K606" s="19"/>
      <c r="L606" s="17"/>
      <c r="M606" s="14"/>
      <c r="N606" s="17"/>
      <c r="O606" s="17"/>
    </row>
    <row r="607" spans="1:15">
      <c r="A607" s="14"/>
      <c r="B607" s="15"/>
      <c r="C607" s="16"/>
      <c r="D607" s="14"/>
      <c r="E607" s="17"/>
      <c r="F607" s="17"/>
      <c r="G607" s="17"/>
      <c r="H607" s="17"/>
      <c r="I607" s="17"/>
      <c r="J607" s="18"/>
      <c r="K607" s="19"/>
      <c r="L607" s="17"/>
      <c r="M607" s="14"/>
      <c r="N607" s="17"/>
      <c r="O607" s="17"/>
    </row>
    <row r="608" spans="1:15">
      <c r="A608" s="14"/>
      <c r="B608" s="15"/>
      <c r="C608" s="16"/>
      <c r="D608" s="14"/>
      <c r="E608" s="17"/>
      <c r="F608" s="17"/>
      <c r="G608" s="17"/>
      <c r="H608" s="17"/>
      <c r="I608" s="17"/>
      <c r="J608" s="18"/>
      <c r="K608" s="19"/>
      <c r="L608" s="17"/>
      <c r="M608" s="14"/>
      <c r="N608" s="17"/>
      <c r="O608" s="17"/>
    </row>
    <row r="609" spans="1:15">
      <c r="A609" s="14"/>
      <c r="B609" s="15"/>
      <c r="C609" s="16"/>
      <c r="D609" s="14"/>
      <c r="E609" s="17"/>
      <c r="F609" s="17"/>
      <c r="G609" s="17"/>
      <c r="H609" s="17"/>
      <c r="I609" s="17"/>
      <c r="J609" s="18"/>
      <c r="K609" s="19"/>
      <c r="L609" s="17"/>
      <c r="M609" s="14"/>
      <c r="N609" s="17"/>
      <c r="O609" s="17"/>
    </row>
    <row r="610" spans="1:15">
      <c r="A610" s="14"/>
      <c r="B610" s="15"/>
      <c r="C610" s="16"/>
      <c r="D610" s="14"/>
      <c r="E610" s="17"/>
      <c r="F610" s="17"/>
      <c r="G610" s="17"/>
      <c r="H610" s="17"/>
      <c r="I610" s="17"/>
      <c r="J610" s="18"/>
      <c r="K610" s="19"/>
      <c r="L610" s="17"/>
      <c r="M610" s="14"/>
      <c r="N610" s="17"/>
      <c r="O610" s="17"/>
    </row>
    <row r="611" spans="1:15">
      <c r="A611" s="14"/>
      <c r="B611" s="15"/>
      <c r="C611" s="16"/>
      <c r="D611" s="14"/>
      <c r="E611" s="17"/>
      <c r="F611" s="17"/>
      <c r="G611" s="17"/>
      <c r="H611" s="17"/>
      <c r="I611" s="17"/>
      <c r="J611" s="18"/>
      <c r="K611" s="19"/>
      <c r="L611" s="17"/>
      <c r="M611" s="14"/>
      <c r="N611" s="17"/>
      <c r="O611" s="17"/>
    </row>
    <row r="612" spans="1:15">
      <c r="A612" s="14"/>
      <c r="B612" s="15"/>
      <c r="C612" s="16"/>
      <c r="D612" s="14"/>
      <c r="E612" s="17"/>
      <c r="F612" s="17"/>
      <c r="G612" s="17"/>
      <c r="H612" s="17"/>
      <c r="I612" s="17"/>
      <c r="J612" s="18"/>
      <c r="K612" s="19"/>
      <c r="L612" s="17"/>
      <c r="M612" s="14"/>
      <c r="N612" s="17"/>
      <c r="O612" s="17"/>
    </row>
    <row r="613" spans="1:15">
      <c r="A613" s="14"/>
      <c r="B613" s="15"/>
      <c r="C613" s="16"/>
      <c r="D613" s="14"/>
      <c r="E613" s="17"/>
      <c r="F613" s="17"/>
      <c r="G613" s="17"/>
      <c r="H613" s="17"/>
      <c r="I613" s="17"/>
      <c r="J613" s="18"/>
      <c r="K613" s="19"/>
      <c r="L613" s="17"/>
      <c r="M613" s="14"/>
      <c r="N613" s="17"/>
      <c r="O613" s="17"/>
    </row>
    <row r="614" spans="1:15">
      <c r="A614" s="14"/>
      <c r="B614" s="15"/>
      <c r="C614" s="16"/>
      <c r="D614" s="14"/>
      <c r="E614" s="17"/>
      <c r="F614" s="17"/>
      <c r="G614" s="17"/>
      <c r="H614" s="17"/>
      <c r="I614" s="17"/>
      <c r="J614" s="18"/>
      <c r="K614" s="19"/>
      <c r="L614" s="17"/>
      <c r="M614" s="14"/>
      <c r="N614" s="17"/>
      <c r="O614" s="17"/>
    </row>
    <row r="615" spans="1:15">
      <c r="A615" s="14"/>
      <c r="B615" s="15"/>
      <c r="C615" s="16"/>
      <c r="D615" s="14"/>
      <c r="E615" s="17"/>
      <c r="F615" s="17"/>
      <c r="G615" s="17"/>
      <c r="H615" s="17"/>
      <c r="I615" s="17"/>
      <c r="J615" s="18"/>
      <c r="K615" s="19"/>
      <c r="L615" s="17"/>
      <c r="M615" s="14"/>
      <c r="N615" s="17"/>
      <c r="O615" s="17"/>
    </row>
    <row r="616" spans="1:15">
      <c r="A616" s="14"/>
      <c r="B616" s="15"/>
      <c r="C616" s="16"/>
      <c r="D616" s="14"/>
      <c r="E616" s="17"/>
      <c r="F616" s="17"/>
      <c r="G616" s="17"/>
      <c r="H616" s="17"/>
      <c r="I616" s="17"/>
      <c r="J616" s="18"/>
      <c r="K616" s="19"/>
      <c r="L616" s="17"/>
      <c r="M616" s="14"/>
      <c r="N616" s="17"/>
      <c r="O616" s="17"/>
    </row>
    <row r="617" spans="1:15">
      <c r="A617" s="14"/>
      <c r="B617" s="15"/>
      <c r="C617" s="16"/>
      <c r="D617" s="14"/>
      <c r="E617" s="17"/>
      <c r="F617" s="17"/>
      <c r="G617" s="17"/>
      <c r="H617" s="17"/>
      <c r="I617" s="17"/>
      <c r="J617" s="18"/>
      <c r="K617" s="19"/>
      <c r="L617" s="17"/>
      <c r="M617" s="14"/>
      <c r="N617" s="17"/>
      <c r="O617" s="17"/>
    </row>
    <row r="618" spans="1:15">
      <c r="A618" s="14"/>
      <c r="B618" s="15"/>
      <c r="C618" s="16"/>
      <c r="D618" s="14"/>
      <c r="E618" s="17"/>
      <c r="F618" s="17"/>
      <c r="G618" s="17"/>
      <c r="H618" s="17"/>
      <c r="I618" s="17"/>
      <c r="J618" s="18"/>
      <c r="K618" s="19"/>
      <c r="L618" s="17"/>
      <c r="M618" s="14"/>
      <c r="N618" s="17"/>
      <c r="O618" s="17"/>
    </row>
    <row r="619" spans="1:15">
      <c r="A619" s="14"/>
      <c r="B619" s="15"/>
      <c r="C619" s="16"/>
      <c r="D619" s="14"/>
      <c r="E619" s="17"/>
      <c r="F619" s="17"/>
      <c r="G619" s="17"/>
      <c r="H619" s="17"/>
      <c r="I619" s="17"/>
      <c r="J619" s="18"/>
      <c r="K619" s="19"/>
      <c r="L619" s="17"/>
      <c r="M619" s="14"/>
      <c r="N619" s="17"/>
      <c r="O619" s="17"/>
    </row>
    <row r="620" spans="1:15">
      <c r="A620" s="14"/>
      <c r="B620" s="15"/>
      <c r="C620" s="16"/>
      <c r="D620" s="14"/>
      <c r="E620" s="17"/>
      <c r="F620" s="17"/>
      <c r="G620" s="17"/>
      <c r="H620" s="17"/>
      <c r="I620" s="17"/>
      <c r="J620" s="18"/>
      <c r="K620" s="19"/>
      <c r="L620" s="17"/>
      <c r="M620" s="14"/>
      <c r="N620" s="17"/>
      <c r="O620" s="17"/>
    </row>
    <row r="621" spans="1:15">
      <c r="A621" s="14"/>
      <c r="B621" s="15"/>
      <c r="C621" s="16"/>
      <c r="D621" s="14"/>
      <c r="E621" s="17"/>
      <c r="F621" s="17"/>
      <c r="G621" s="17"/>
      <c r="H621" s="17"/>
      <c r="I621" s="17"/>
      <c r="J621" s="18"/>
      <c r="K621" s="19"/>
      <c r="L621" s="17"/>
      <c r="M621" s="14"/>
      <c r="N621" s="17"/>
      <c r="O621" s="17"/>
    </row>
    <row r="622" spans="1:15">
      <c r="A622" s="14"/>
      <c r="B622" s="15"/>
      <c r="C622" s="16"/>
      <c r="D622" s="14"/>
      <c r="E622" s="17"/>
      <c r="F622" s="17"/>
      <c r="G622" s="17"/>
      <c r="H622" s="17"/>
      <c r="I622" s="17"/>
      <c r="J622" s="18"/>
      <c r="K622" s="19"/>
      <c r="L622" s="17"/>
      <c r="M622" s="14"/>
      <c r="N622" s="17"/>
      <c r="O622" s="17"/>
    </row>
    <row r="623" spans="1:15">
      <c r="A623" s="14"/>
      <c r="B623" s="15"/>
      <c r="C623" s="16"/>
      <c r="D623" s="14"/>
      <c r="E623" s="17"/>
      <c r="F623" s="17"/>
      <c r="G623" s="17"/>
      <c r="H623" s="17"/>
      <c r="I623" s="17"/>
      <c r="J623" s="18"/>
      <c r="K623" s="19"/>
      <c r="L623" s="17"/>
      <c r="M623" s="14"/>
      <c r="N623" s="17"/>
      <c r="O623" s="17"/>
    </row>
    <row r="624" spans="1:15">
      <c r="A624" s="14"/>
      <c r="B624" s="15"/>
      <c r="C624" s="16"/>
      <c r="D624" s="14"/>
      <c r="E624" s="17"/>
      <c r="F624" s="17"/>
      <c r="G624" s="17"/>
      <c r="H624" s="17"/>
      <c r="I624" s="17"/>
      <c r="J624" s="18"/>
      <c r="K624" s="19"/>
      <c r="L624" s="17"/>
      <c r="M624" s="14"/>
      <c r="N624" s="17"/>
      <c r="O624" s="17"/>
    </row>
    <row r="625" spans="1:15">
      <c r="A625" s="14"/>
      <c r="B625" s="15"/>
      <c r="C625" s="16"/>
      <c r="D625" s="14"/>
      <c r="E625" s="17"/>
      <c r="F625" s="17"/>
      <c r="G625" s="17"/>
      <c r="H625" s="17"/>
      <c r="I625" s="17"/>
      <c r="J625" s="18"/>
      <c r="K625" s="19"/>
      <c r="L625" s="17"/>
      <c r="M625" s="14"/>
      <c r="N625" s="17"/>
      <c r="O625" s="17"/>
    </row>
    <row r="626" spans="1:15">
      <c r="A626" s="14"/>
      <c r="B626" s="15"/>
      <c r="C626" s="16"/>
      <c r="D626" s="14"/>
      <c r="E626" s="17"/>
      <c r="F626" s="17"/>
      <c r="G626" s="17"/>
      <c r="H626" s="17"/>
      <c r="I626" s="17"/>
      <c r="J626" s="18"/>
      <c r="K626" s="19"/>
      <c r="L626" s="17"/>
      <c r="M626" s="14"/>
      <c r="N626" s="17"/>
      <c r="O626" s="17"/>
    </row>
    <row r="627" spans="1:15">
      <c r="A627" s="14"/>
      <c r="B627" s="15"/>
      <c r="C627" s="16"/>
      <c r="D627" s="14"/>
      <c r="E627" s="17"/>
      <c r="F627" s="17"/>
      <c r="G627" s="17"/>
      <c r="H627" s="17"/>
      <c r="I627" s="17"/>
      <c r="J627" s="18"/>
      <c r="K627" s="19"/>
      <c r="L627" s="17"/>
      <c r="M627" s="14"/>
      <c r="N627" s="17"/>
      <c r="O627" s="17"/>
    </row>
    <row r="628" spans="1:15">
      <c r="A628" s="14"/>
      <c r="B628" s="15"/>
      <c r="C628" s="16"/>
      <c r="D628" s="14"/>
      <c r="E628" s="17"/>
      <c r="F628" s="17"/>
      <c r="G628" s="17"/>
      <c r="H628" s="17"/>
      <c r="I628" s="17"/>
      <c r="J628" s="18"/>
      <c r="K628" s="19"/>
      <c r="L628" s="17"/>
      <c r="M628" s="14"/>
      <c r="N628" s="17"/>
      <c r="O628" s="17"/>
    </row>
    <row r="629" spans="1:15">
      <c r="A629" s="14"/>
      <c r="B629" s="15"/>
      <c r="C629" s="16"/>
      <c r="D629" s="14"/>
      <c r="E629" s="17"/>
      <c r="F629" s="17"/>
      <c r="G629" s="17"/>
      <c r="H629" s="17"/>
      <c r="I629" s="17"/>
      <c r="J629" s="18"/>
      <c r="K629" s="19"/>
      <c r="L629" s="17"/>
      <c r="M629" s="14"/>
      <c r="N629" s="17"/>
      <c r="O629" s="17"/>
    </row>
    <row r="630" spans="1:15">
      <c r="A630" s="14"/>
      <c r="B630" s="15"/>
      <c r="C630" s="16"/>
      <c r="D630" s="14"/>
      <c r="E630" s="17"/>
      <c r="F630" s="17"/>
      <c r="G630" s="17"/>
      <c r="H630" s="17"/>
      <c r="I630" s="17"/>
      <c r="J630" s="18"/>
      <c r="K630" s="19"/>
      <c r="L630" s="17"/>
      <c r="M630" s="14"/>
      <c r="N630" s="17"/>
      <c r="O630" s="17"/>
    </row>
    <row r="631" spans="1:15">
      <c r="A631" s="14"/>
      <c r="B631" s="15"/>
      <c r="C631" s="16"/>
      <c r="D631" s="14"/>
      <c r="E631" s="17"/>
      <c r="F631" s="17"/>
      <c r="G631" s="17"/>
      <c r="H631" s="17"/>
      <c r="I631" s="17"/>
      <c r="J631" s="18"/>
      <c r="K631" s="19"/>
      <c r="L631" s="17"/>
      <c r="M631" s="14"/>
      <c r="N631" s="17"/>
      <c r="O631" s="17"/>
    </row>
    <row r="632" spans="1:15">
      <c r="A632" s="14"/>
      <c r="B632" s="15"/>
      <c r="C632" s="16"/>
      <c r="D632" s="14"/>
      <c r="E632" s="17"/>
      <c r="F632" s="17"/>
      <c r="G632" s="17"/>
      <c r="H632" s="17"/>
      <c r="I632" s="17"/>
      <c r="J632" s="18"/>
      <c r="K632" s="19"/>
      <c r="L632" s="17"/>
      <c r="M632" s="14"/>
      <c r="N632" s="17"/>
      <c r="O632" s="17"/>
    </row>
    <row r="633" spans="1:15">
      <c r="A633" s="14"/>
      <c r="B633" s="15"/>
      <c r="C633" s="16"/>
      <c r="D633" s="14"/>
      <c r="E633" s="17"/>
      <c r="F633" s="17"/>
      <c r="G633" s="17"/>
      <c r="H633" s="17"/>
      <c r="I633" s="17"/>
      <c r="J633" s="18"/>
      <c r="K633" s="19"/>
      <c r="L633" s="17"/>
      <c r="M633" s="14"/>
      <c r="N633" s="17"/>
      <c r="O633" s="17"/>
    </row>
    <row r="634" spans="1:15">
      <c r="A634" s="14"/>
      <c r="B634" s="15"/>
      <c r="C634" s="16"/>
      <c r="D634" s="14"/>
      <c r="E634" s="17"/>
      <c r="F634" s="17"/>
      <c r="G634" s="17"/>
      <c r="H634" s="17"/>
      <c r="I634" s="17"/>
      <c r="J634" s="18"/>
      <c r="K634" s="19"/>
      <c r="L634" s="17"/>
      <c r="M634" s="14"/>
      <c r="N634" s="17"/>
      <c r="O634" s="17"/>
    </row>
    <row r="635" spans="1:15">
      <c r="A635" s="14"/>
      <c r="B635" s="15"/>
      <c r="C635" s="16"/>
      <c r="D635" s="14"/>
      <c r="E635" s="17"/>
      <c r="F635" s="17"/>
      <c r="G635" s="17"/>
      <c r="H635" s="17"/>
      <c r="I635" s="17"/>
      <c r="J635" s="18"/>
      <c r="K635" s="19"/>
      <c r="L635" s="17"/>
      <c r="M635" s="14"/>
      <c r="N635" s="17"/>
      <c r="O635" s="17"/>
    </row>
    <row r="636" spans="1:15">
      <c r="A636" s="14"/>
      <c r="B636" s="15"/>
      <c r="C636" s="16"/>
      <c r="D636" s="14"/>
      <c r="E636" s="17"/>
      <c r="F636" s="17"/>
      <c r="G636" s="17"/>
      <c r="H636" s="17"/>
      <c r="I636" s="17"/>
      <c r="J636" s="18"/>
      <c r="K636" s="19"/>
      <c r="L636" s="17"/>
      <c r="M636" s="14"/>
      <c r="N636" s="17"/>
      <c r="O636" s="17"/>
    </row>
    <row r="637" spans="1:15">
      <c r="A637" s="14"/>
      <c r="B637" s="15"/>
      <c r="C637" s="16"/>
      <c r="D637" s="14"/>
      <c r="E637" s="17"/>
      <c r="F637" s="17"/>
      <c r="G637" s="17"/>
      <c r="H637" s="17"/>
      <c r="I637" s="17"/>
      <c r="J637" s="18"/>
      <c r="K637" s="19"/>
      <c r="L637" s="17"/>
      <c r="M637" s="14"/>
      <c r="N637" s="17"/>
      <c r="O637" s="17"/>
    </row>
    <row r="638" spans="1:15">
      <c r="A638" s="14"/>
      <c r="B638" s="15"/>
      <c r="C638" s="16"/>
      <c r="D638" s="14"/>
      <c r="E638" s="17"/>
      <c r="F638" s="17"/>
      <c r="G638" s="17"/>
      <c r="H638" s="17"/>
      <c r="I638" s="17"/>
      <c r="J638" s="18"/>
      <c r="K638" s="19"/>
      <c r="L638" s="17"/>
      <c r="M638" s="14"/>
      <c r="N638" s="17"/>
      <c r="O638" s="17"/>
    </row>
    <row r="639" spans="1:15">
      <c r="A639" s="14"/>
      <c r="B639" s="15"/>
      <c r="C639" s="16"/>
      <c r="D639" s="14"/>
      <c r="E639" s="17"/>
      <c r="F639" s="17"/>
      <c r="G639" s="17"/>
      <c r="H639" s="17"/>
      <c r="I639" s="17"/>
      <c r="J639" s="18"/>
      <c r="K639" s="19"/>
      <c r="L639" s="17"/>
      <c r="M639" s="14"/>
      <c r="N639" s="17"/>
      <c r="O639" s="17"/>
    </row>
    <row r="640" spans="1:15">
      <c r="A640" s="14"/>
      <c r="B640" s="15"/>
      <c r="C640" s="16"/>
      <c r="D640" s="14"/>
      <c r="E640" s="17"/>
      <c r="F640" s="17"/>
      <c r="G640" s="17"/>
      <c r="H640" s="17"/>
      <c r="I640" s="17"/>
      <c r="J640" s="18"/>
      <c r="K640" s="19"/>
      <c r="L640" s="17"/>
      <c r="M640" s="14"/>
      <c r="N640" s="17"/>
      <c r="O640" s="17"/>
    </row>
    <row r="641" spans="1:15">
      <c r="A641" s="14"/>
      <c r="B641" s="15"/>
      <c r="C641" s="16"/>
      <c r="D641" s="14"/>
      <c r="E641" s="17"/>
      <c r="F641" s="17"/>
      <c r="G641" s="17"/>
      <c r="H641" s="17"/>
      <c r="I641" s="17"/>
      <c r="J641" s="18"/>
      <c r="K641" s="19"/>
      <c r="L641" s="17"/>
      <c r="M641" s="14"/>
      <c r="N641" s="17"/>
      <c r="O641" s="17"/>
    </row>
    <row r="642" spans="1:15">
      <c r="A642" s="14"/>
      <c r="B642" s="15"/>
      <c r="C642" s="16"/>
      <c r="D642" s="14"/>
      <c r="E642" s="17"/>
      <c r="F642" s="17"/>
      <c r="G642" s="17"/>
      <c r="H642" s="17"/>
      <c r="I642" s="17"/>
      <c r="J642" s="18"/>
      <c r="K642" s="19"/>
      <c r="L642" s="17"/>
      <c r="M642" s="14"/>
      <c r="N642" s="17"/>
      <c r="O642" s="17"/>
    </row>
    <row r="643" spans="1:15">
      <c r="A643" s="14"/>
      <c r="B643" s="15"/>
      <c r="C643" s="16"/>
      <c r="D643" s="14"/>
      <c r="E643" s="17"/>
      <c r="F643" s="17"/>
      <c r="G643" s="17"/>
      <c r="H643" s="17"/>
      <c r="I643" s="17"/>
      <c r="J643" s="18"/>
      <c r="K643" s="19"/>
      <c r="L643" s="17"/>
      <c r="M643" s="14"/>
      <c r="N643" s="17"/>
      <c r="O643" s="17"/>
    </row>
    <row r="644" spans="1:15">
      <c r="A644" s="14"/>
      <c r="B644" s="15"/>
      <c r="C644" s="16"/>
      <c r="D644" s="14"/>
      <c r="E644" s="17"/>
      <c r="F644" s="17"/>
      <c r="G644" s="17"/>
      <c r="H644" s="17"/>
      <c r="I644" s="17"/>
      <c r="J644" s="18"/>
      <c r="K644" s="19"/>
      <c r="L644" s="17"/>
      <c r="M644" s="14"/>
      <c r="N644" s="17"/>
      <c r="O644" s="17"/>
    </row>
    <row r="645" spans="1:15">
      <c r="A645" s="14"/>
      <c r="B645" s="15"/>
      <c r="C645" s="16"/>
      <c r="D645" s="14"/>
      <c r="E645" s="17"/>
      <c r="F645" s="17"/>
      <c r="G645" s="17"/>
      <c r="H645" s="17"/>
      <c r="I645" s="17"/>
      <c r="J645" s="18"/>
      <c r="K645" s="19"/>
      <c r="L645" s="17"/>
      <c r="M645" s="14"/>
      <c r="N645" s="17"/>
      <c r="O645" s="17"/>
    </row>
    <row r="646" spans="1:15">
      <c r="A646" s="14"/>
      <c r="B646" s="15"/>
      <c r="C646" s="16"/>
      <c r="D646" s="14"/>
      <c r="E646" s="17"/>
      <c r="F646" s="17"/>
      <c r="G646" s="17"/>
      <c r="H646" s="17"/>
      <c r="I646" s="17"/>
      <c r="J646" s="18"/>
      <c r="K646" s="19"/>
      <c r="L646" s="17"/>
      <c r="M646" s="14"/>
      <c r="N646" s="17"/>
      <c r="O646" s="17"/>
    </row>
    <row r="647" spans="1:15">
      <c r="A647" s="14"/>
      <c r="B647" s="15"/>
      <c r="C647" s="16"/>
      <c r="D647" s="14"/>
      <c r="E647" s="17"/>
      <c r="F647" s="17"/>
      <c r="G647" s="17"/>
      <c r="H647" s="17"/>
      <c r="I647" s="17"/>
      <c r="J647" s="18"/>
      <c r="K647" s="19"/>
      <c r="L647" s="17"/>
      <c r="M647" s="14"/>
      <c r="N647" s="17"/>
      <c r="O647" s="17"/>
    </row>
    <row r="648" spans="1:15">
      <c r="A648" s="14"/>
      <c r="B648" s="15"/>
      <c r="C648" s="16"/>
      <c r="D648" s="14"/>
      <c r="E648" s="17"/>
      <c r="F648" s="17"/>
      <c r="G648" s="17"/>
      <c r="H648" s="17"/>
      <c r="I648" s="17"/>
      <c r="J648" s="18"/>
      <c r="K648" s="19"/>
      <c r="L648" s="17"/>
      <c r="M648" s="14"/>
      <c r="N648" s="17"/>
      <c r="O648" s="17"/>
    </row>
    <row r="649" spans="1:15">
      <c r="A649" s="14"/>
      <c r="B649" s="15"/>
      <c r="C649" s="16"/>
      <c r="D649" s="14"/>
      <c r="E649" s="17"/>
      <c r="F649" s="17"/>
      <c r="G649" s="17"/>
      <c r="H649" s="17"/>
      <c r="I649" s="17"/>
      <c r="J649" s="18"/>
      <c r="K649" s="19"/>
      <c r="L649" s="17"/>
      <c r="M649" s="14"/>
      <c r="N649" s="17"/>
      <c r="O649" s="17"/>
    </row>
    <row r="650" spans="1:15">
      <c r="A650" s="14"/>
      <c r="B650" s="15"/>
      <c r="C650" s="16"/>
      <c r="D650" s="14"/>
      <c r="E650" s="17"/>
      <c r="F650" s="17"/>
      <c r="G650" s="17"/>
      <c r="H650" s="17"/>
      <c r="I650" s="17"/>
      <c r="J650" s="18"/>
      <c r="K650" s="19"/>
      <c r="L650" s="17"/>
      <c r="M650" s="14"/>
      <c r="N650" s="17"/>
      <c r="O650" s="17"/>
    </row>
    <row r="651" spans="1:15">
      <c r="A651" s="14"/>
      <c r="B651" s="15"/>
      <c r="C651" s="16"/>
      <c r="D651" s="14"/>
      <c r="E651" s="17"/>
      <c r="F651" s="17"/>
      <c r="G651" s="17"/>
      <c r="H651" s="17"/>
      <c r="I651" s="17"/>
      <c r="J651" s="18"/>
      <c r="K651" s="19"/>
      <c r="L651" s="17"/>
      <c r="M651" s="14"/>
      <c r="N651" s="17"/>
      <c r="O651" s="17"/>
    </row>
    <row r="652" spans="1:15">
      <c r="A652" s="14"/>
      <c r="B652" s="15"/>
      <c r="C652" s="16"/>
      <c r="D652" s="14"/>
      <c r="E652" s="17"/>
      <c r="F652" s="17"/>
      <c r="G652" s="17"/>
      <c r="H652" s="17"/>
      <c r="I652" s="17"/>
      <c r="J652" s="18"/>
      <c r="K652" s="19"/>
      <c r="L652" s="17"/>
      <c r="M652" s="14"/>
      <c r="N652" s="17"/>
      <c r="O652" s="17"/>
    </row>
    <row r="653" spans="1:15">
      <c r="A653" s="14"/>
      <c r="B653" s="15"/>
      <c r="C653" s="16"/>
      <c r="D653" s="14"/>
      <c r="E653" s="17"/>
      <c r="F653" s="17"/>
      <c r="G653" s="17"/>
      <c r="H653" s="17"/>
      <c r="I653" s="17"/>
      <c r="J653" s="18"/>
      <c r="K653" s="19"/>
      <c r="L653" s="17"/>
      <c r="M653" s="14"/>
      <c r="N653" s="17"/>
      <c r="O653" s="17"/>
    </row>
    <row r="654" spans="1:15">
      <c r="A654" s="14"/>
      <c r="B654" s="15"/>
      <c r="C654" s="16"/>
      <c r="D654" s="14"/>
      <c r="E654" s="17"/>
      <c r="F654" s="17"/>
      <c r="G654" s="17"/>
      <c r="H654" s="17"/>
      <c r="I654" s="17"/>
      <c r="J654" s="18"/>
      <c r="K654" s="19"/>
      <c r="L654" s="17"/>
      <c r="M654" s="14"/>
      <c r="N654" s="17"/>
      <c r="O654" s="17"/>
    </row>
    <row r="655" spans="1:15">
      <c r="A655" s="14"/>
      <c r="B655" s="15"/>
      <c r="C655" s="16"/>
      <c r="D655" s="14"/>
      <c r="E655" s="17"/>
      <c r="F655" s="17"/>
      <c r="G655" s="17"/>
      <c r="H655" s="17"/>
      <c r="I655" s="17"/>
      <c r="J655" s="18"/>
      <c r="K655" s="19"/>
      <c r="L655" s="17"/>
      <c r="M655" s="14"/>
      <c r="N655" s="17"/>
      <c r="O655" s="17"/>
    </row>
    <row r="656" spans="1:15">
      <c r="A656" s="14"/>
      <c r="B656" s="15"/>
      <c r="C656" s="16"/>
      <c r="D656" s="14"/>
      <c r="E656" s="17"/>
      <c r="F656" s="17"/>
      <c r="G656" s="17"/>
      <c r="H656" s="17"/>
      <c r="I656" s="17"/>
      <c r="J656" s="18"/>
      <c r="K656" s="19"/>
      <c r="L656" s="17"/>
      <c r="M656" s="14"/>
      <c r="N656" s="17"/>
      <c r="O656" s="17"/>
    </row>
    <row r="657" spans="1:15">
      <c r="A657" s="14"/>
      <c r="B657" s="15"/>
      <c r="C657" s="16"/>
      <c r="D657" s="14"/>
      <c r="E657" s="17"/>
      <c r="F657" s="17"/>
      <c r="G657" s="17"/>
      <c r="H657" s="17"/>
      <c r="I657" s="17"/>
      <c r="J657" s="18"/>
      <c r="K657" s="19"/>
      <c r="L657" s="17"/>
      <c r="M657" s="14"/>
      <c r="N657" s="17"/>
      <c r="O657" s="17"/>
    </row>
    <row r="658" spans="1:15">
      <c r="A658" s="14"/>
      <c r="B658" s="15"/>
      <c r="C658" s="16"/>
      <c r="D658" s="14"/>
      <c r="E658" s="17"/>
      <c r="F658" s="17"/>
      <c r="G658" s="17"/>
      <c r="H658" s="17"/>
      <c r="I658" s="17"/>
      <c r="J658" s="18"/>
      <c r="K658" s="19"/>
      <c r="L658" s="17"/>
      <c r="M658" s="14"/>
      <c r="N658" s="17"/>
      <c r="O658" s="17"/>
    </row>
    <row r="659" spans="1:15">
      <c r="A659" s="14"/>
      <c r="B659" s="15"/>
      <c r="C659" s="16"/>
      <c r="D659" s="14"/>
      <c r="E659" s="17"/>
      <c r="F659" s="17"/>
      <c r="G659" s="17"/>
      <c r="H659" s="17"/>
      <c r="I659" s="17"/>
      <c r="J659" s="18"/>
      <c r="K659" s="19"/>
      <c r="L659" s="17"/>
      <c r="M659" s="14"/>
      <c r="N659" s="17"/>
      <c r="O659" s="17"/>
    </row>
    <row r="660" spans="1:15">
      <c r="A660" s="14"/>
      <c r="B660" s="15"/>
      <c r="C660" s="16"/>
      <c r="D660" s="14"/>
      <c r="E660" s="17"/>
      <c r="F660" s="17"/>
      <c r="G660" s="17"/>
      <c r="H660" s="17"/>
      <c r="I660" s="17"/>
      <c r="J660" s="18"/>
      <c r="K660" s="19"/>
      <c r="L660" s="17"/>
      <c r="M660" s="14"/>
      <c r="N660" s="17"/>
      <c r="O660" s="17"/>
    </row>
    <row r="661" spans="1:15">
      <c r="A661" s="14"/>
      <c r="B661" s="15"/>
      <c r="C661" s="16"/>
      <c r="D661" s="14"/>
      <c r="E661" s="17"/>
      <c r="F661" s="17"/>
      <c r="G661" s="17"/>
      <c r="H661" s="17"/>
      <c r="I661" s="17"/>
      <c r="J661" s="18"/>
      <c r="K661" s="19"/>
      <c r="L661" s="17"/>
      <c r="M661" s="14"/>
      <c r="N661" s="17"/>
      <c r="O661" s="17"/>
    </row>
    <row r="662" spans="1:15">
      <c r="A662" s="14"/>
      <c r="B662" s="15"/>
      <c r="C662" s="16"/>
      <c r="D662" s="14"/>
      <c r="E662" s="17"/>
      <c r="F662" s="17"/>
      <c r="G662" s="17"/>
      <c r="H662" s="17"/>
      <c r="I662" s="17"/>
      <c r="J662" s="18"/>
      <c r="K662" s="19"/>
      <c r="L662" s="17"/>
      <c r="M662" s="14"/>
      <c r="N662" s="17"/>
      <c r="O662" s="17"/>
    </row>
    <row r="663" spans="1:15">
      <c r="A663" s="14"/>
      <c r="B663" s="15"/>
      <c r="C663" s="16"/>
      <c r="D663" s="14"/>
      <c r="E663" s="17"/>
      <c r="F663" s="17"/>
      <c r="G663" s="17"/>
      <c r="H663" s="17"/>
      <c r="I663" s="17"/>
      <c r="J663" s="18"/>
      <c r="K663" s="19"/>
      <c r="L663" s="17"/>
      <c r="M663" s="14"/>
      <c r="N663" s="17"/>
      <c r="O663" s="17"/>
    </row>
    <row r="664" spans="1:15">
      <c r="A664" s="14"/>
      <c r="B664" s="15"/>
      <c r="C664" s="16"/>
      <c r="D664" s="14"/>
      <c r="E664" s="17"/>
      <c r="F664" s="17"/>
      <c r="G664" s="17"/>
      <c r="H664" s="17"/>
      <c r="I664" s="17"/>
      <c r="J664" s="18"/>
      <c r="K664" s="19"/>
      <c r="L664" s="17"/>
      <c r="M664" s="14"/>
      <c r="N664" s="17"/>
      <c r="O664" s="17"/>
    </row>
    <row r="665" spans="1:15">
      <c r="A665" s="14"/>
      <c r="B665" s="15"/>
      <c r="C665" s="16"/>
      <c r="D665" s="14"/>
      <c r="E665" s="17"/>
      <c r="F665" s="17"/>
      <c r="G665" s="17"/>
      <c r="H665" s="17"/>
      <c r="I665" s="17"/>
      <c r="J665" s="18"/>
      <c r="K665" s="19"/>
      <c r="L665" s="17"/>
      <c r="M665" s="14"/>
      <c r="N665" s="17"/>
      <c r="O665" s="17"/>
    </row>
    <row r="666" spans="1:15">
      <c r="A666" s="14"/>
      <c r="B666" s="15"/>
      <c r="C666" s="16"/>
      <c r="D666" s="14"/>
      <c r="E666" s="17"/>
      <c r="F666" s="17"/>
      <c r="G666" s="17"/>
      <c r="H666" s="17"/>
      <c r="I666" s="17"/>
      <c r="J666" s="18"/>
      <c r="K666" s="19"/>
      <c r="L666" s="17"/>
      <c r="M666" s="14"/>
      <c r="N666" s="17"/>
      <c r="O666" s="17"/>
    </row>
    <row r="667" spans="1:15">
      <c r="A667" s="14"/>
      <c r="B667" s="15"/>
      <c r="C667" s="16"/>
      <c r="D667" s="14"/>
      <c r="E667" s="17"/>
      <c r="F667" s="17"/>
      <c r="G667" s="17"/>
      <c r="H667" s="17"/>
      <c r="I667" s="17"/>
      <c r="J667" s="18"/>
      <c r="K667" s="19"/>
      <c r="L667" s="17"/>
      <c r="M667" s="14"/>
      <c r="N667" s="17"/>
      <c r="O667" s="17"/>
    </row>
    <row r="668" spans="1:15">
      <c r="A668" s="14"/>
      <c r="B668" s="15"/>
      <c r="C668" s="16"/>
      <c r="D668" s="14"/>
      <c r="E668" s="17"/>
      <c r="F668" s="17"/>
      <c r="G668" s="17"/>
      <c r="H668" s="17"/>
      <c r="I668" s="17"/>
      <c r="J668" s="18"/>
      <c r="K668" s="19"/>
      <c r="L668" s="17"/>
      <c r="M668" s="14"/>
      <c r="N668" s="17"/>
      <c r="O668" s="17"/>
    </row>
    <row r="669" spans="1:15">
      <c r="A669" s="14"/>
      <c r="B669" s="15"/>
      <c r="C669" s="16"/>
      <c r="D669" s="14"/>
      <c r="E669" s="17"/>
      <c r="F669" s="17"/>
      <c r="G669" s="17"/>
      <c r="H669" s="17"/>
      <c r="I669" s="17"/>
      <c r="J669" s="18"/>
      <c r="K669" s="19"/>
      <c r="L669" s="17"/>
      <c r="M669" s="14"/>
      <c r="N669" s="17"/>
      <c r="O669" s="17"/>
    </row>
    <row r="670" spans="1:15">
      <c r="A670" s="14"/>
      <c r="B670" s="15"/>
      <c r="C670" s="16"/>
      <c r="D670" s="14"/>
      <c r="E670" s="17"/>
      <c r="F670" s="17"/>
      <c r="G670" s="17"/>
      <c r="H670" s="17"/>
      <c r="I670" s="17"/>
      <c r="J670" s="18"/>
      <c r="K670" s="19"/>
      <c r="L670" s="17"/>
      <c r="M670" s="14"/>
      <c r="N670" s="17"/>
      <c r="O670" s="17"/>
    </row>
    <row r="671" spans="1:15">
      <c r="A671" s="14"/>
      <c r="B671" s="15"/>
      <c r="C671" s="16"/>
      <c r="D671" s="14"/>
      <c r="E671" s="17"/>
      <c r="F671" s="17"/>
      <c r="G671" s="17"/>
      <c r="H671" s="17"/>
      <c r="I671" s="17"/>
      <c r="J671" s="18"/>
      <c r="K671" s="19"/>
      <c r="L671" s="17"/>
      <c r="M671" s="14"/>
      <c r="N671" s="17"/>
      <c r="O671" s="17"/>
    </row>
    <row r="672" spans="1:15">
      <c r="A672" s="14"/>
      <c r="B672" s="15"/>
      <c r="C672" s="16"/>
      <c r="D672" s="14"/>
      <c r="E672" s="17"/>
      <c r="F672" s="17"/>
      <c r="G672" s="17"/>
      <c r="H672" s="17"/>
      <c r="I672" s="17"/>
      <c r="J672" s="18"/>
      <c r="K672" s="19"/>
      <c r="L672" s="17"/>
      <c r="M672" s="14"/>
      <c r="N672" s="17"/>
      <c r="O672" s="17"/>
    </row>
    <row r="673" spans="1:15">
      <c r="A673" s="14"/>
      <c r="B673" s="15"/>
      <c r="C673" s="16"/>
      <c r="D673" s="14"/>
      <c r="E673" s="17"/>
      <c r="F673" s="17"/>
      <c r="G673" s="17"/>
      <c r="H673" s="17"/>
      <c r="I673" s="17"/>
      <c r="J673" s="18"/>
      <c r="K673" s="19"/>
      <c r="L673" s="17"/>
      <c r="M673" s="14"/>
      <c r="N673" s="17"/>
      <c r="O673" s="17"/>
    </row>
    <row r="674" spans="1:15">
      <c r="A674" s="14"/>
      <c r="B674" s="15"/>
      <c r="C674" s="16"/>
      <c r="D674" s="14"/>
      <c r="E674" s="17"/>
      <c r="F674" s="17"/>
      <c r="G674" s="17"/>
      <c r="H674" s="17"/>
      <c r="I674" s="17"/>
      <c r="J674" s="18"/>
      <c r="K674" s="19"/>
      <c r="L674" s="17"/>
      <c r="M674" s="14"/>
      <c r="N674" s="17"/>
      <c r="O674" s="17"/>
    </row>
    <row r="675" spans="1:15">
      <c r="A675" s="14"/>
      <c r="B675" s="15"/>
      <c r="C675" s="16"/>
      <c r="D675" s="14"/>
      <c r="E675" s="17"/>
      <c r="F675" s="17"/>
      <c r="G675" s="17"/>
      <c r="H675" s="17"/>
      <c r="I675" s="17"/>
      <c r="J675" s="18"/>
      <c r="K675" s="19"/>
      <c r="L675" s="17"/>
      <c r="M675" s="14"/>
      <c r="N675" s="17"/>
      <c r="O675" s="17"/>
    </row>
    <row r="676" spans="1:15">
      <c r="A676" s="14"/>
      <c r="B676" s="15"/>
      <c r="C676" s="16"/>
      <c r="D676" s="14"/>
      <c r="E676" s="17"/>
      <c r="F676" s="17"/>
      <c r="G676" s="17"/>
      <c r="H676" s="17"/>
      <c r="I676" s="17"/>
      <c r="J676" s="18"/>
      <c r="K676" s="19"/>
      <c r="L676" s="17"/>
      <c r="M676" s="14"/>
      <c r="N676" s="17"/>
      <c r="O676" s="17"/>
    </row>
    <row r="677" spans="1:15">
      <c r="A677" s="14"/>
      <c r="B677" s="15"/>
      <c r="C677" s="16"/>
      <c r="D677" s="14"/>
      <c r="E677" s="17"/>
      <c r="F677" s="17"/>
      <c r="G677" s="17"/>
      <c r="H677" s="17"/>
      <c r="I677" s="17"/>
      <c r="J677" s="18"/>
      <c r="K677" s="19"/>
      <c r="L677" s="17"/>
      <c r="M677" s="14"/>
      <c r="N677" s="17"/>
      <c r="O677" s="17"/>
    </row>
    <row r="678" spans="1:15">
      <c r="A678" s="14"/>
      <c r="B678" s="15"/>
      <c r="C678" s="16"/>
      <c r="D678" s="14"/>
      <c r="E678" s="17"/>
      <c r="F678" s="17"/>
      <c r="G678" s="17"/>
      <c r="H678" s="17"/>
      <c r="I678" s="17"/>
      <c r="J678" s="18"/>
      <c r="K678" s="19"/>
      <c r="L678" s="17"/>
      <c r="M678" s="14"/>
      <c r="N678" s="17"/>
      <c r="O678" s="17"/>
    </row>
    <row r="679" spans="1:15">
      <c r="A679" s="14"/>
      <c r="B679" s="15"/>
      <c r="C679" s="16"/>
      <c r="D679" s="14"/>
      <c r="E679" s="17"/>
      <c r="F679" s="17"/>
      <c r="G679" s="17"/>
      <c r="H679" s="17"/>
      <c r="I679" s="17"/>
      <c r="J679" s="18"/>
      <c r="K679" s="19"/>
      <c r="L679" s="17"/>
      <c r="M679" s="14"/>
      <c r="N679" s="17"/>
      <c r="O679" s="17"/>
    </row>
    <row r="680" spans="1:15">
      <c r="A680" s="14"/>
      <c r="B680" s="15"/>
      <c r="C680" s="16"/>
      <c r="D680" s="14"/>
      <c r="E680" s="17"/>
      <c r="F680" s="17"/>
      <c r="G680" s="17"/>
      <c r="H680" s="17"/>
      <c r="I680" s="17"/>
      <c r="J680" s="18"/>
      <c r="K680" s="19"/>
      <c r="L680" s="17"/>
      <c r="M680" s="14"/>
      <c r="N680" s="17"/>
      <c r="O680" s="17"/>
    </row>
    <row r="681" spans="1:15">
      <c r="A681" s="14"/>
      <c r="B681" s="15"/>
      <c r="C681" s="16"/>
      <c r="D681" s="14"/>
      <c r="E681" s="17"/>
      <c r="F681" s="17"/>
      <c r="G681" s="17"/>
      <c r="H681" s="17"/>
      <c r="I681" s="17"/>
      <c r="J681" s="18"/>
      <c r="K681" s="19"/>
      <c r="L681" s="17"/>
      <c r="M681" s="14"/>
      <c r="N681" s="17"/>
      <c r="O681" s="17"/>
    </row>
    <row r="682" spans="1:15">
      <c r="A682" s="14"/>
      <c r="B682" s="15"/>
      <c r="C682" s="16"/>
      <c r="D682" s="14"/>
      <c r="E682" s="17"/>
      <c r="F682" s="17"/>
      <c r="G682" s="17"/>
      <c r="H682" s="17"/>
      <c r="I682" s="17"/>
      <c r="J682" s="18"/>
      <c r="K682" s="19"/>
      <c r="L682" s="17"/>
      <c r="M682" s="14"/>
      <c r="N682" s="17"/>
      <c r="O682" s="17"/>
    </row>
    <row r="683" spans="1:15">
      <c r="A683" s="14"/>
      <c r="B683" s="15"/>
      <c r="C683" s="16"/>
      <c r="D683" s="14"/>
      <c r="E683" s="17"/>
      <c r="F683" s="17"/>
      <c r="G683" s="17"/>
      <c r="H683" s="17"/>
      <c r="I683" s="17"/>
      <c r="J683" s="18"/>
      <c r="K683" s="19"/>
      <c r="L683" s="17"/>
      <c r="M683" s="14"/>
      <c r="N683" s="17"/>
      <c r="O683" s="17"/>
    </row>
    <row r="684" spans="1:15">
      <c r="A684" s="14"/>
      <c r="B684" s="15"/>
      <c r="C684" s="16"/>
      <c r="D684" s="14"/>
      <c r="E684" s="17"/>
      <c r="F684" s="17"/>
      <c r="G684" s="17"/>
      <c r="H684" s="17"/>
      <c r="I684" s="17"/>
      <c r="J684" s="18"/>
      <c r="K684" s="19"/>
      <c r="L684" s="17"/>
      <c r="M684" s="14"/>
      <c r="N684" s="17"/>
      <c r="O684" s="17"/>
    </row>
    <row r="685" spans="1:15">
      <c r="A685" s="14"/>
      <c r="B685" s="15"/>
      <c r="C685" s="16"/>
      <c r="D685" s="14"/>
      <c r="E685" s="17"/>
      <c r="F685" s="17"/>
      <c r="G685" s="17"/>
      <c r="H685" s="17"/>
      <c r="I685" s="17"/>
      <c r="J685" s="18"/>
      <c r="K685" s="19"/>
      <c r="L685" s="17"/>
      <c r="M685" s="14"/>
      <c r="N685" s="17"/>
      <c r="O685" s="17"/>
    </row>
    <row r="686" spans="1:15">
      <c r="A686" s="14"/>
      <c r="B686" s="15"/>
      <c r="C686" s="16"/>
      <c r="D686" s="14"/>
      <c r="E686" s="17"/>
      <c r="F686" s="17"/>
      <c r="G686" s="17"/>
      <c r="H686" s="17"/>
      <c r="I686" s="17"/>
      <c r="J686" s="18"/>
      <c r="K686" s="19"/>
      <c r="L686" s="17"/>
      <c r="M686" s="14"/>
      <c r="N686" s="17"/>
      <c r="O686" s="17"/>
    </row>
    <row r="687" spans="1:15">
      <c r="A687" s="14"/>
      <c r="B687" s="15"/>
      <c r="C687" s="16"/>
      <c r="D687" s="14"/>
      <c r="E687" s="17"/>
      <c r="F687" s="17"/>
      <c r="G687" s="17"/>
      <c r="H687" s="17"/>
      <c r="I687" s="17"/>
      <c r="J687" s="18"/>
      <c r="K687" s="19"/>
      <c r="L687" s="17"/>
      <c r="M687" s="14"/>
      <c r="N687" s="17"/>
      <c r="O687" s="17"/>
    </row>
    <row r="688" spans="1:15">
      <c r="A688" s="14"/>
      <c r="B688" s="15"/>
      <c r="C688" s="16"/>
      <c r="D688" s="14"/>
      <c r="E688" s="17"/>
      <c r="F688" s="17"/>
      <c r="G688" s="17"/>
      <c r="H688" s="17"/>
      <c r="I688" s="17"/>
      <c r="J688" s="18"/>
      <c r="K688" s="19"/>
      <c r="L688" s="17"/>
      <c r="M688" s="14"/>
      <c r="N688" s="17"/>
      <c r="O688" s="17"/>
    </row>
    <row r="689" spans="1:15">
      <c r="A689" s="14"/>
      <c r="B689" s="15"/>
      <c r="C689" s="16"/>
      <c r="D689" s="14"/>
      <c r="E689" s="17"/>
      <c r="F689" s="17"/>
      <c r="G689" s="17"/>
      <c r="H689" s="17"/>
      <c r="I689" s="17"/>
      <c r="J689" s="18"/>
      <c r="K689" s="19"/>
      <c r="L689" s="17"/>
      <c r="M689" s="14"/>
      <c r="N689" s="17"/>
      <c r="O689" s="17"/>
    </row>
    <row r="690" spans="1:15">
      <c r="A690" s="14"/>
      <c r="B690" s="15"/>
      <c r="C690" s="16"/>
      <c r="D690" s="14"/>
      <c r="E690" s="17"/>
      <c r="F690" s="17"/>
      <c r="G690" s="17"/>
      <c r="H690" s="17"/>
      <c r="I690" s="17"/>
      <c r="J690" s="18"/>
      <c r="K690" s="19"/>
      <c r="L690" s="17"/>
      <c r="M690" s="14"/>
      <c r="N690" s="17"/>
      <c r="O690" s="17"/>
    </row>
    <row r="691" spans="1:15">
      <c r="A691" s="14"/>
      <c r="B691" s="15"/>
      <c r="C691" s="16"/>
      <c r="D691" s="14"/>
      <c r="E691" s="17"/>
      <c r="F691" s="17"/>
      <c r="G691" s="17"/>
      <c r="H691" s="17"/>
      <c r="I691" s="17"/>
      <c r="J691" s="18"/>
      <c r="K691" s="19"/>
      <c r="L691" s="17"/>
      <c r="M691" s="14"/>
      <c r="N691" s="17"/>
      <c r="O691" s="17"/>
    </row>
    <row r="692" spans="1:15">
      <c r="A692" s="14"/>
      <c r="B692" s="15"/>
      <c r="C692" s="16"/>
      <c r="D692" s="14"/>
      <c r="E692" s="17"/>
      <c r="F692" s="17"/>
      <c r="G692" s="17"/>
      <c r="H692" s="17"/>
      <c r="I692" s="17"/>
      <c r="J692" s="18"/>
      <c r="K692" s="19"/>
      <c r="L692" s="17"/>
      <c r="M692" s="14"/>
      <c r="N692" s="17"/>
      <c r="O692" s="17"/>
    </row>
    <row r="693" spans="1:15">
      <c r="A693" s="14"/>
      <c r="B693" s="15"/>
      <c r="C693" s="16"/>
      <c r="D693" s="14"/>
      <c r="E693" s="17"/>
      <c r="F693" s="17"/>
      <c r="G693" s="17"/>
      <c r="H693" s="17"/>
      <c r="I693" s="17"/>
      <c r="J693" s="18"/>
      <c r="K693" s="19"/>
      <c r="L693" s="17"/>
      <c r="M693" s="14"/>
      <c r="N693" s="17"/>
      <c r="O693" s="17"/>
    </row>
    <row r="694" spans="1:15">
      <c r="A694" s="14"/>
      <c r="B694" s="15"/>
      <c r="C694" s="16"/>
      <c r="D694" s="14"/>
      <c r="E694" s="17"/>
      <c r="F694" s="17"/>
      <c r="G694" s="17"/>
      <c r="H694" s="17"/>
      <c r="I694" s="17"/>
      <c r="J694" s="18"/>
      <c r="K694" s="19"/>
      <c r="L694" s="17"/>
      <c r="M694" s="14"/>
      <c r="N694" s="17"/>
      <c r="O694" s="17"/>
    </row>
    <row r="695" spans="1:15">
      <c r="A695" s="14"/>
      <c r="B695" s="15"/>
      <c r="C695" s="16"/>
      <c r="D695" s="14"/>
      <c r="E695" s="17"/>
      <c r="F695" s="17"/>
      <c r="G695" s="17"/>
      <c r="H695" s="17"/>
      <c r="I695" s="17"/>
      <c r="J695" s="18"/>
      <c r="K695" s="19"/>
      <c r="L695" s="17"/>
      <c r="M695" s="14"/>
      <c r="N695" s="17"/>
      <c r="O695" s="17"/>
    </row>
    <row r="696" spans="1:15">
      <c r="A696" s="14"/>
      <c r="B696" s="15"/>
      <c r="C696" s="16"/>
      <c r="D696" s="14"/>
      <c r="E696" s="17"/>
      <c r="F696" s="17"/>
      <c r="G696" s="17"/>
      <c r="H696" s="17"/>
      <c r="I696" s="17"/>
      <c r="J696" s="18"/>
      <c r="K696" s="19"/>
      <c r="L696" s="17"/>
      <c r="M696" s="14"/>
      <c r="N696" s="17"/>
      <c r="O696" s="17"/>
    </row>
    <row r="697" spans="1:15">
      <c r="A697" s="14"/>
      <c r="B697" s="15"/>
      <c r="C697" s="16"/>
      <c r="D697" s="14"/>
      <c r="E697" s="17"/>
      <c r="F697" s="17"/>
      <c r="G697" s="17"/>
      <c r="H697" s="17"/>
      <c r="I697" s="17"/>
      <c r="J697" s="18"/>
      <c r="K697" s="19"/>
      <c r="L697" s="17"/>
      <c r="M697" s="14"/>
      <c r="N697" s="17"/>
      <c r="O697" s="17"/>
    </row>
    <row r="698" spans="1:15">
      <c r="A698" s="14"/>
      <c r="B698" s="15"/>
      <c r="C698" s="16"/>
      <c r="D698" s="14"/>
      <c r="E698" s="17"/>
      <c r="F698" s="17"/>
      <c r="G698" s="17"/>
      <c r="H698" s="17"/>
      <c r="I698" s="17"/>
      <c r="J698" s="18"/>
      <c r="K698" s="19"/>
      <c r="L698" s="17"/>
      <c r="M698" s="14"/>
      <c r="N698" s="17"/>
      <c r="O698" s="17"/>
    </row>
    <row r="699" spans="1:15">
      <c r="A699" s="14"/>
      <c r="B699" s="15"/>
      <c r="C699" s="16"/>
      <c r="D699" s="14"/>
      <c r="E699" s="17"/>
      <c r="F699" s="17"/>
      <c r="G699" s="17"/>
      <c r="H699" s="17"/>
      <c r="I699" s="17"/>
      <c r="J699" s="18"/>
      <c r="K699" s="19"/>
      <c r="L699" s="17"/>
      <c r="M699" s="14"/>
      <c r="N699" s="17"/>
      <c r="O699" s="17"/>
    </row>
    <row r="700" spans="1:15">
      <c r="A700" s="14"/>
      <c r="B700" s="15"/>
      <c r="C700" s="16"/>
      <c r="D700" s="14"/>
      <c r="E700" s="17"/>
      <c r="F700" s="17"/>
      <c r="G700" s="17"/>
      <c r="H700" s="17"/>
      <c r="I700" s="17"/>
      <c r="J700" s="18"/>
      <c r="K700" s="19"/>
      <c r="L700" s="17"/>
      <c r="M700" s="14"/>
      <c r="N700" s="17"/>
      <c r="O700" s="17"/>
    </row>
    <row r="701" spans="1:15">
      <c r="A701" s="14"/>
      <c r="B701" s="15"/>
      <c r="C701" s="16"/>
      <c r="D701" s="14"/>
      <c r="E701" s="17"/>
      <c r="F701" s="17"/>
      <c r="G701" s="17"/>
      <c r="H701" s="17"/>
      <c r="I701" s="17"/>
      <c r="J701" s="18"/>
      <c r="K701" s="19"/>
      <c r="L701" s="17"/>
      <c r="M701" s="14"/>
      <c r="N701" s="17"/>
      <c r="O701" s="17"/>
    </row>
    <row r="702" spans="1:15">
      <c r="A702" s="14"/>
      <c r="B702" s="15"/>
      <c r="C702" s="16"/>
      <c r="D702" s="14"/>
      <c r="E702" s="17"/>
      <c r="F702" s="17"/>
      <c r="G702" s="17"/>
      <c r="H702" s="17"/>
      <c r="I702" s="17"/>
      <c r="J702" s="18"/>
      <c r="K702" s="19"/>
      <c r="L702" s="17"/>
      <c r="M702" s="14"/>
      <c r="N702" s="17"/>
      <c r="O702" s="17"/>
    </row>
    <row r="703" spans="1:15">
      <c r="A703" s="14"/>
      <c r="B703" s="15"/>
      <c r="C703" s="16"/>
      <c r="D703" s="14"/>
      <c r="E703" s="17"/>
      <c r="F703" s="17"/>
      <c r="G703" s="17"/>
      <c r="H703" s="17"/>
      <c r="I703" s="17"/>
      <c r="J703" s="18"/>
      <c r="K703" s="19"/>
      <c r="L703" s="17"/>
      <c r="M703" s="14"/>
      <c r="N703" s="17"/>
      <c r="O703" s="17"/>
    </row>
    <row r="704" spans="1:15">
      <c r="A704" s="14"/>
      <c r="B704" s="15"/>
      <c r="C704" s="16"/>
      <c r="D704" s="14"/>
      <c r="E704" s="17"/>
      <c r="F704" s="17"/>
      <c r="G704" s="17"/>
      <c r="H704" s="17"/>
      <c r="I704" s="17"/>
      <c r="J704" s="18"/>
      <c r="K704" s="19"/>
      <c r="L704" s="17"/>
      <c r="M704" s="14"/>
      <c r="N704" s="17"/>
      <c r="O704" s="17"/>
    </row>
    <row r="705" spans="1:15">
      <c r="A705" s="14"/>
      <c r="B705" s="15"/>
      <c r="C705" s="16"/>
      <c r="D705" s="14"/>
      <c r="E705" s="17"/>
      <c r="F705" s="17"/>
      <c r="G705" s="17"/>
      <c r="H705" s="17"/>
      <c r="I705" s="17"/>
      <c r="J705" s="18"/>
      <c r="K705" s="19"/>
      <c r="L705" s="17"/>
      <c r="M705" s="14"/>
      <c r="N705" s="17"/>
      <c r="O705" s="17"/>
    </row>
    <row r="706" spans="1:15">
      <c r="A706" s="14"/>
      <c r="B706" s="15"/>
      <c r="C706" s="16"/>
      <c r="D706" s="14"/>
      <c r="E706" s="17"/>
      <c r="F706" s="17"/>
      <c r="G706" s="17"/>
      <c r="H706" s="17"/>
      <c r="I706" s="17"/>
      <c r="J706" s="18"/>
      <c r="K706" s="19"/>
      <c r="L706" s="17"/>
      <c r="M706" s="14"/>
      <c r="N706" s="17"/>
      <c r="O706" s="17"/>
    </row>
    <row r="707" spans="1:15">
      <c r="A707" s="14"/>
      <c r="B707" s="15"/>
      <c r="C707" s="16"/>
      <c r="D707" s="14"/>
      <c r="E707" s="17"/>
      <c r="F707" s="17"/>
      <c r="G707" s="17"/>
      <c r="H707" s="17"/>
      <c r="I707" s="17"/>
      <c r="J707" s="18"/>
      <c r="K707" s="19"/>
      <c r="L707" s="17"/>
      <c r="M707" s="14"/>
      <c r="N707" s="17"/>
      <c r="O707" s="17"/>
    </row>
    <row r="708" spans="1:15">
      <c r="A708" s="14"/>
      <c r="B708" s="15"/>
      <c r="C708" s="16"/>
      <c r="D708" s="14"/>
      <c r="E708" s="17"/>
      <c r="F708" s="17"/>
      <c r="G708" s="17"/>
      <c r="H708" s="17"/>
      <c r="I708" s="17"/>
      <c r="J708" s="18"/>
      <c r="K708" s="19"/>
      <c r="L708" s="17"/>
      <c r="M708" s="14"/>
      <c r="N708" s="17"/>
      <c r="O708" s="17"/>
    </row>
    <row r="709" spans="1:15">
      <c r="A709" s="14"/>
      <c r="B709" s="15"/>
      <c r="C709" s="16"/>
      <c r="D709" s="14"/>
      <c r="E709" s="17"/>
      <c r="F709" s="17"/>
      <c r="G709" s="17"/>
      <c r="H709" s="17"/>
      <c r="I709" s="17"/>
      <c r="J709" s="18"/>
      <c r="K709" s="19"/>
      <c r="L709" s="17"/>
      <c r="M709" s="14"/>
      <c r="N709" s="17"/>
      <c r="O709" s="17"/>
    </row>
    <row r="710" spans="1:15">
      <c r="A710" s="14"/>
      <c r="B710" s="15"/>
      <c r="C710" s="16"/>
      <c r="D710" s="14"/>
      <c r="E710" s="17"/>
      <c r="F710" s="17"/>
      <c r="G710" s="17"/>
      <c r="H710" s="17"/>
      <c r="I710" s="17"/>
      <c r="J710" s="18"/>
      <c r="K710" s="19"/>
      <c r="L710" s="17"/>
      <c r="M710" s="14"/>
      <c r="N710" s="17"/>
      <c r="O710" s="17"/>
    </row>
    <row r="711" spans="1:15">
      <c r="A711" s="14"/>
      <c r="B711" s="15"/>
      <c r="C711" s="16"/>
      <c r="D711" s="14"/>
      <c r="E711" s="17"/>
      <c r="F711" s="17"/>
      <c r="G711" s="17"/>
      <c r="H711" s="17"/>
      <c r="I711" s="17"/>
      <c r="J711" s="18"/>
      <c r="K711" s="19"/>
      <c r="L711" s="17"/>
      <c r="M711" s="14"/>
      <c r="N711" s="17"/>
      <c r="O711" s="17"/>
    </row>
    <row r="712" spans="1:15">
      <c r="A712" s="14"/>
      <c r="B712" s="15"/>
      <c r="C712" s="16"/>
      <c r="D712" s="14"/>
      <c r="E712" s="17"/>
      <c r="F712" s="17"/>
      <c r="G712" s="17"/>
      <c r="H712" s="17"/>
      <c r="I712" s="17"/>
      <c r="J712" s="18"/>
      <c r="K712" s="19"/>
      <c r="L712" s="17"/>
      <c r="M712" s="14"/>
      <c r="N712" s="17"/>
      <c r="O712" s="17"/>
    </row>
    <row r="713" spans="1:15">
      <c r="A713" s="14"/>
      <c r="B713" s="15"/>
      <c r="C713" s="16"/>
      <c r="D713" s="14"/>
      <c r="E713" s="17"/>
      <c r="F713" s="17"/>
      <c r="G713" s="17"/>
      <c r="H713" s="17"/>
      <c r="I713" s="17"/>
      <c r="J713" s="18"/>
      <c r="K713" s="19"/>
      <c r="L713" s="17"/>
      <c r="M713" s="14"/>
      <c r="N713" s="17"/>
      <c r="O713" s="17"/>
    </row>
    <row r="714" spans="1:15">
      <c r="A714" s="14"/>
      <c r="B714" s="15"/>
      <c r="C714" s="16"/>
      <c r="D714" s="14"/>
      <c r="E714" s="17"/>
      <c r="F714" s="17"/>
      <c r="G714" s="17"/>
      <c r="H714" s="17"/>
      <c r="I714" s="17"/>
      <c r="J714" s="18"/>
      <c r="K714" s="19"/>
      <c r="L714" s="17"/>
      <c r="M714" s="14"/>
      <c r="N714" s="17"/>
      <c r="O714" s="17"/>
    </row>
    <row r="715" spans="1:15">
      <c r="A715" s="14"/>
      <c r="B715" s="15"/>
      <c r="C715" s="16"/>
      <c r="D715" s="14"/>
      <c r="E715" s="17"/>
      <c r="F715" s="17"/>
      <c r="G715" s="17"/>
      <c r="H715" s="17"/>
      <c r="I715" s="17"/>
      <c r="J715" s="18"/>
      <c r="K715" s="19"/>
      <c r="L715" s="17"/>
      <c r="M715" s="14"/>
      <c r="N715" s="17"/>
      <c r="O715" s="17"/>
    </row>
    <row r="716" spans="1:15">
      <c r="A716" s="14"/>
      <c r="B716" s="15"/>
      <c r="C716" s="16"/>
      <c r="D716" s="14"/>
      <c r="E716" s="17"/>
      <c r="F716" s="17"/>
      <c r="G716" s="17"/>
      <c r="H716" s="17"/>
      <c r="I716" s="17"/>
      <c r="J716" s="18"/>
      <c r="K716" s="19"/>
      <c r="L716" s="17"/>
      <c r="M716" s="14"/>
      <c r="N716" s="17"/>
      <c r="O716" s="17"/>
    </row>
    <row r="717" spans="1:15">
      <c r="A717" s="14"/>
      <c r="B717" s="15"/>
      <c r="C717" s="16"/>
      <c r="D717" s="14"/>
      <c r="E717" s="17"/>
      <c r="F717" s="17"/>
      <c r="G717" s="17"/>
      <c r="H717" s="17"/>
      <c r="I717" s="17"/>
      <c r="J717" s="18"/>
      <c r="K717" s="19"/>
      <c r="L717" s="17"/>
      <c r="M717" s="14"/>
      <c r="N717" s="17"/>
      <c r="O717" s="17"/>
    </row>
    <row r="718" spans="1:15">
      <c r="A718" s="14"/>
      <c r="B718" s="15"/>
      <c r="C718" s="16"/>
      <c r="D718" s="14"/>
      <c r="E718" s="17"/>
      <c r="F718" s="17"/>
      <c r="G718" s="17"/>
      <c r="H718" s="17"/>
      <c r="I718" s="17"/>
      <c r="J718" s="18"/>
      <c r="K718" s="19"/>
      <c r="L718" s="17"/>
      <c r="M718" s="14"/>
      <c r="N718" s="17"/>
      <c r="O718" s="17"/>
    </row>
    <row r="719" spans="1:15">
      <c r="A719" s="14"/>
      <c r="B719" s="15"/>
      <c r="C719" s="16"/>
      <c r="D719" s="14"/>
      <c r="E719" s="17"/>
      <c r="F719" s="17"/>
      <c r="G719" s="17"/>
      <c r="H719" s="17"/>
      <c r="I719" s="17"/>
      <c r="J719" s="18"/>
      <c r="K719" s="19"/>
      <c r="L719" s="17"/>
      <c r="M719" s="14"/>
      <c r="N719" s="17"/>
      <c r="O719" s="17"/>
    </row>
    <row r="720" spans="1:15">
      <c r="A720" s="14"/>
      <c r="B720" s="15"/>
      <c r="C720" s="16"/>
      <c r="D720" s="14"/>
      <c r="E720" s="17"/>
      <c r="F720" s="17"/>
      <c r="G720" s="17"/>
      <c r="H720" s="17"/>
      <c r="I720" s="17"/>
      <c r="J720" s="18"/>
      <c r="K720" s="19"/>
      <c r="L720" s="17"/>
      <c r="M720" s="14"/>
      <c r="N720" s="17"/>
      <c r="O720" s="17"/>
    </row>
    <row r="721" spans="1:15">
      <c r="A721" s="14"/>
      <c r="B721" s="15"/>
      <c r="C721" s="16"/>
      <c r="D721" s="14"/>
      <c r="E721" s="17"/>
      <c r="F721" s="17"/>
      <c r="G721" s="17"/>
      <c r="H721" s="17"/>
      <c r="I721" s="17"/>
      <c r="J721" s="18"/>
      <c r="K721" s="19"/>
      <c r="L721" s="17"/>
      <c r="M721" s="14"/>
      <c r="N721" s="17"/>
      <c r="O721" s="17"/>
    </row>
    <row r="722" spans="1:15">
      <c r="A722" s="14"/>
      <c r="B722" s="15"/>
      <c r="C722" s="16"/>
      <c r="D722" s="14"/>
      <c r="E722" s="17"/>
      <c r="F722" s="17"/>
      <c r="G722" s="17"/>
      <c r="H722" s="17"/>
      <c r="I722" s="17"/>
      <c r="J722" s="18"/>
      <c r="K722" s="19"/>
      <c r="L722" s="17"/>
      <c r="M722" s="14"/>
      <c r="N722" s="17"/>
      <c r="O722" s="17"/>
    </row>
    <row r="723" spans="1:15">
      <c r="A723" s="14"/>
      <c r="B723" s="15"/>
      <c r="C723" s="16"/>
      <c r="D723" s="14"/>
      <c r="E723" s="17"/>
      <c r="F723" s="17"/>
      <c r="G723" s="17"/>
      <c r="H723" s="17"/>
      <c r="I723" s="17"/>
      <c r="J723" s="18"/>
      <c r="K723" s="19"/>
      <c r="L723" s="17"/>
      <c r="M723" s="14"/>
      <c r="N723" s="17"/>
      <c r="O723" s="17"/>
    </row>
    <row r="724" spans="1:15">
      <c r="A724" s="14"/>
      <c r="B724" s="15"/>
      <c r="C724" s="16"/>
      <c r="D724" s="14"/>
      <c r="E724" s="17"/>
      <c r="F724" s="17"/>
      <c r="G724" s="17"/>
      <c r="H724" s="17"/>
      <c r="I724" s="17"/>
      <c r="J724" s="18"/>
      <c r="K724" s="19"/>
      <c r="L724" s="17"/>
      <c r="M724" s="14"/>
      <c r="N724" s="17"/>
      <c r="O724" s="17"/>
    </row>
    <row r="725" spans="1:15">
      <c r="A725" s="14"/>
      <c r="B725" s="15"/>
      <c r="C725" s="16"/>
      <c r="D725" s="14"/>
      <c r="E725" s="17"/>
      <c r="F725" s="17"/>
      <c r="G725" s="17"/>
      <c r="H725" s="17"/>
      <c r="I725" s="17"/>
      <c r="J725" s="18"/>
      <c r="K725" s="19"/>
      <c r="L725" s="17"/>
      <c r="M725" s="14"/>
      <c r="N725" s="17"/>
      <c r="O725" s="17"/>
    </row>
    <row r="726" spans="1:15">
      <c r="A726" s="14"/>
      <c r="B726" s="15"/>
      <c r="C726" s="16"/>
      <c r="D726" s="14"/>
      <c r="E726" s="17"/>
      <c r="F726" s="17"/>
      <c r="G726" s="17"/>
      <c r="H726" s="17"/>
      <c r="I726" s="17"/>
      <c r="J726" s="18"/>
      <c r="K726" s="19"/>
      <c r="L726" s="17"/>
      <c r="M726" s="14"/>
      <c r="N726" s="17"/>
      <c r="O726" s="17"/>
    </row>
    <row r="727" spans="1:15">
      <c r="A727" s="14"/>
      <c r="B727" s="15"/>
      <c r="C727" s="16"/>
      <c r="D727" s="14"/>
      <c r="E727" s="17"/>
      <c r="F727" s="17"/>
      <c r="G727" s="17"/>
      <c r="H727" s="17"/>
      <c r="I727" s="17"/>
      <c r="J727" s="18"/>
      <c r="K727" s="19"/>
      <c r="L727" s="17"/>
      <c r="M727" s="14"/>
      <c r="N727" s="17"/>
      <c r="O727" s="17"/>
    </row>
    <row r="728" spans="1:15">
      <c r="A728" s="14"/>
      <c r="B728" s="15"/>
      <c r="C728" s="16"/>
      <c r="D728" s="14"/>
      <c r="E728" s="17"/>
      <c r="F728" s="17"/>
      <c r="G728" s="17"/>
      <c r="H728" s="17"/>
      <c r="I728" s="17"/>
      <c r="J728" s="18"/>
      <c r="K728" s="19"/>
      <c r="L728" s="17"/>
      <c r="M728" s="14"/>
      <c r="N728" s="17"/>
      <c r="O728" s="17"/>
    </row>
    <row r="729" spans="1:15">
      <c r="A729" s="14"/>
      <c r="B729" s="15"/>
      <c r="C729" s="16"/>
      <c r="D729" s="14"/>
      <c r="E729" s="17"/>
      <c r="F729" s="17"/>
      <c r="G729" s="17"/>
      <c r="H729" s="17"/>
      <c r="I729" s="17"/>
      <c r="J729" s="18"/>
      <c r="K729" s="19"/>
      <c r="L729" s="17"/>
      <c r="M729" s="14"/>
      <c r="N729" s="17"/>
      <c r="O729" s="17"/>
    </row>
    <row r="730" spans="1:15">
      <c r="A730" s="14"/>
      <c r="B730" s="15"/>
      <c r="C730" s="16"/>
      <c r="D730" s="14"/>
      <c r="E730" s="17"/>
      <c r="F730" s="17"/>
      <c r="G730" s="17"/>
      <c r="H730" s="17"/>
      <c r="I730" s="17"/>
      <c r="J730" s="18"/>
      <c r="K730" s="19"/>
      <c r="L730" s="17"/>
      <c r="M730" s="14"/>
      <c r="N730" s="17"/>
      <c r="O730" s="17"/>
    </row>
    <row r="731" spans="1:15">
      <c r="A731" s="14"/>
      <c r="B731" s="15"/>
      <c r="C731" s="16"/>
      <c r="D731" s="14"/>
      <c r="E731" s="17"/>
      <c r="F731" s="17"/>
      <c r="G731" s="17"/>
      <c r="H731" s="17"/>
      <c r="I731" s="17"/>
      <c r="J731" s="18"/>
      <c r="K731" s="19"/>
      <c r="L731" s="17"/>
      <c r="M731" s="14"/>
      <c r="N731" s="17"/>
      <c r="O731" s="17"/>
    </row>
    <row r="732" spans="1:15">
      <c r="A732" s="14"/>
      <c r="B732" s="15"/>
      <c r="C732" s="16"/>
      <c r="D732" s="14"/>
      <c r="E732" s="17"/>
      <c r="F732" s="17"/>
      <c r="G732" s="17"/>
      <c r="H732" s="17"/>
      <c r="I732" s="17"/>
      <c r="J732" s="18"/>
      <c r="K732" s="19"/>
      <c r="L732" s="17"/>
      <c r="M732" s="14"/>
      <c r="N732" s="17"/>
      <c r="O732" s="17"/>
    </row>
    <row r="733" spans="1:15">
      <c r="A733" s="14"/>
      <c r="B733" s="15"/>
      <c r="C733" s="16"/>
      <c r="D733" s="14"/>
      <c r="E733" s="17"/>
      <c r="F733" s="17"/>
      <c r="G733" s="17"/>
      <c r="H733" s="17"/>
      <c r="I733" s="17"/>
      <c r="J733" s="18"/>
      <c r="K733" s="19"/>
      <c r="L733" s="17"/>
      <c r="M733" s="14"/>
      <c r="N733" s="17"/>
      <c r="O733" s="17"/>
    </row>
    <row r="734" spans="1:15">
      <c r="A734" s="14"/>
      <c r="B734" s="15"/>
      <c r="C734" s="16"/>
      <c r="D734" s="14"/>
      <c r="E734" s="17"/>
      <c r="F734" s="17"/>
      <c r="G734" s="17"/>
      <c r="H734" s="17"/>
      <c r="I734" s="17"/>
      <c r="J734" s="18"/>
      <c r="K734" s="19"/>
      <c r="L734" s="17"/>
      <c r="M734" s="14"/>
      <c r="N734" s="17"/>
      <c r="O734" s="17"/>
    </row>
    <row r="735" spans="1:15">
      <c r="A735" s="14"/>
      <c r="B735" s="15"/>
      <c r="C735" s="16"/>
      <c r="D735" s="14"/>
      <c r="E735" s="17"/>
      <c r="F735" s="17"/>
      <c r="G735" s="17"/>
      <c r="H735" s="17"/>
      <c r="I735" s="17"/>
      <c r="J735" s="18"/>
      <c r="K735" s="19"/>
      <c r="L735" s="17"/>
      <c r="M735" s="14"/>
      <c r="N735" s="17"/>
      <c r="O735" s="17"/>
    </row>
    <row r="736" spans="1:15">
      <c r="A736" s="14"/>
      <c r="B736" s="15"/>
      <c r="C736" s="16"/>
      <c r="D736" s="14"/>
      <c r="E736" s="17"/>
      <c r="F736" s="17"/>
      <c r="G736" s="17"/>
      <c r="H736" s="17"/>
      <c r="I736" s="17"/>
      <c r="J736" s="18"/>
      <c r="K736" s="19"/>
      <c r="L736" s="17"/>
      <c r="M736" s="14"/>
      <c r="N736" s="17"/>
      <c r="O736" s="17"/>
    </row>
    <row r="737" spans="1:15">
      <c r="A737" s="14"/>
      <c r="B737" s="15"/>
      <c r="C737" s="16"/>
      <c r="D737" s="14"/>
      <c r="E737" s="17"/>
      <c r="F737" s="17"/>
      <c r="G737" s="17"/>
      <c r="H737" s="17"/>
      <c r="I737" s="17"/>
      <c r="J737" s="18"/>
      <c r="K737" s="19"/>
      <c r="L737" s="17"/>
      <c r="M737" s="14"/>
      <c r="N737" s="17"/>
      <c r="O737" s="17"/>
    </row>
    <row r="738" spans="1:15">
      <c r="A738" s="14"/>
      <c r="B738" s="15"/>
      <c r="C738" s="16"/>
      <c r="D738" s="14"/>
      <c r="E738" s="17"/>
      <c r="F738" s="17"/>
      <c r="G738" s="17"/>
      <c r="H738" s="17"/>
      <c r="I738" s="17"/>
      <c r="J738" s="18"/>
      <c r="K738" s="19"/>
      <c r="L738" s="17"/>
      <c r="M738" s="14"/>
      <c r="N738" s="17"/>
      <c r="O738" s="17"/>
    </row>
    <row r="739" spans="1:15">
      <c r="A739" s="14"/>
      <c r="B739" s="15"/>
      <c r="C739" s="16"/>
      <c r="D739" s="14"/>
      <c r="E739" s="17"/>
      <c r="F739" s="17"/>
      <c r="G739" s="17"/>
      <c r="H739" s="17"/>
      <c r="I739" s="17"/>
      <c r="J739" s="18"/>
      <c r="K739" s="19"/>
      <c r="L739" s="17"/>
      <c r="M739" s="14"/>
      <c r="N739" s="17"/>
      <c r="O739" s="17"/>
    </row>
    <row r="740" spans="1:15">
      <c r="A740" s="14"/>
      <c r="B740" s="15"/>
      <c r="C740" s="16"/>
      <c r="D740" s="14"/>
      <c r="E740" s="17"/>
      <c r="F740" s="17"/>
      <c r="G740" s="17"/>
      <c r="H740" s="17"/>
      <c r="I740" s="17"/>
      <c r="J740" s="18"/>
      <c r="K740" s="19"/>
      <c r="L740" s="17"/>
      <c r="M740" s="14"/>
      <c r="N740" s="17"/>
      <c r="O740" s="17"/>
    </row>
    <row r="741" spans="1:15">
      <c r="A741" s="14"/>
      <c r="B741" s="15"/>
      <c r="C741" s="16"/>
      <c r="D741" s="14"/>
      <c r="E741" s="17"/>
      <c r="F741" s="17"/>
      <c r="G741" s="17"/>
      <c r="H741" s="17"/>
      <c r="I741" s="17"/>
      <c r="J741" s="18"/>
      <c r="K741" s="19"/>
      <c r="L741" s="17"/>
      <c r="M741" s="14"/>
      <c r="N741" s="17"/>
      <c r="O741" s="17"/>
    </row>
    <row r="742" spans="1:15">
      <c r="A742" s="14"/>
      <c r="B742" s="15"/>
      <c r="C742" s="16"/>
      <c r="D742" s="14"/>
      <c r="E742" s="17"/>
      <c r="F742" s="17"/>
      <c r="G742" s="17"/>
      <c r="H742" s="17"/>
      <c r="I742" s="17"/>
      <c r="J742" s="18"/>
      <c r="K742" s="19"/>
      <c r="L742" s="17"/>
      <c r="M742" s="14"/>
      <c r="N742" s="17"/>
      <c r="O742" s="17"/>
    </row>
    <row r="743" spans="1:15">
      <c r="A743" s="14"/>
      <c r="B743" s="15"/>
      <c r="C743" s="16"/>
      <c r="D743" s="14"/>
      <c r="E743" s="17"/>
      <c r="F743" s="17"/>
      <c r="G743" s="17"/>
      <c r="H743" s="17"/>
      <c r="I743" s="17"/>
      <c r="J743" s="18"/>
      <c r="K743" s="19"/>
      <c r="L743" s="17"/>
      <c r="M743" s="14"/>
      <c r="N743" s="17"/>
      <c r="O743" s="17"/>
    </row>
    <row r="744" spans="1:15">
      <c r="A744" s="14"/>
      <c r="B744" s="15"/>
      <c r="C744" s="16"/>
      <c r="D744" s="14"/>
      <c r="E744" s="17"/>
      <c r="F744" s="17"/>
      <c r="G744" s="17"/>
      <c r="H744" s="17"/>
      <c r="I744" s="17"/>
      <c r="J744" s="18"/>
      <c r="K744" s="19"/>
      <c r="L744" s="17"/>
      <c r="M744" s="14"/>
      <c r="N744" s="17"/>
      <c r="O744" s="17"/>
    </row>
    <row r="745" spans="1:15">
      <c r="A745" s="14"/>
      <c r="B745" s="15"/>
      <c r="C745" s="16"/>
      <c r="D745" s="14"/>
      <c r="E745" s="17"/>
      <c r="F745" s="17"/>
      <c r="G745" s="17"/>
      <c r="H745" s="17"/>
      <c r="I745" s="17"/>
      <c r="J745" s="18"/>
      <c r="K745" s="19"/>
      <c r="L745" s="17"/>
      <c r="M745" s="14"/>
      <c r="N745" s="17"/>
      <c r="O745" s="17"/>
    </row>
    <row r="746" spans="1:15">
      <c r="A746" s="14"/>
      <c r="B746" s="15"/>
      <c r="C746" s="16"/>
      <c r="D746" s="14"/>
      <c r="E746" s="17"/>
      <c r="F746" s="17"/>
      <c r="G746" s="17"/>
      <c r="H746" s="17"/>
      <c r="I746" s="17"/>
      <c r="J746" s="18"/>
      <c r="K746" s="19"/>
      <c r="L746" s="17"/>
      <c r="M746" s="14"/>
      <c r="N746" s="17"/>
      <c r="O746" s="17"/>
    </row>
    <row r="747" spans="1:15">
      <c r="A747" s="14"/>
      <c r="B747" s="15"/>
      <c r="C747" s="16"/>
      <c r="D747" s="14"/>
      <c r="E747" s="17"/>
      <c r="F747" s="17"/>
      <c r="G747" s="17"/>
      <c r="H747" s="17"/>
      <c r="I747" s="17"/>
      <c r="J747" s="18"/>
      <c r="K747" s="19"/>
      <c r="L747" s="17"/>
      <c r="M747" s="14"/>
      <c r="N747" s="17"/>
      <c r="O747" s="17"/>
    </row>
    <row r="748" spans="1:15">
      <c r="A748" s="14"/>
      <c r="B748" s="15"/>
      <c r="C748" s="16"/>
      <c r="D748" s="14"/>
      <c r="E748" s="17"/>
      <c r="F748" s="17"/>
      <c r="G748" s="17"/>
      <c r="H748" s="17"/>
      <c r="I748" s="17"/>
      <c r="J748" s="18"/>
      <c r="K748" s="19"/>
      <c r="L748" s="17"/>
      <c r="M748" s="14"/>
      <c r="N748" s="17"/>
      <c r="O748" s="17"/>
    </row>
    <row r="749" spans="1:15">
      <c r="A749" s="14"/>
      <c r="B749" s="15"/>
      <c r="C749" s="16"/>
      <c r="D749" s="14"/>
      <c r="E749" s="17"/>
      <c r="F749" s="17"/>
      <c r="G749" s="17"/>
      <c r="H749" s="17"/>
      <c r="I749" s="17"/>
      <c r="J749" s="18"/>
      <c r="K749" s="19"/>
      <c r="L749" s="17"/>
      <c r="M749" s="14"/>
      <c r="N749" s="17"/>
      <c r="O749" s="17"/>
    </row>
    <row r="750" spans="1:15">
      <c r="A750" s="14"/>
      <c r="B750" s="15"/>
      <c r="C750" s="16"/>
      <c r="D750" s="14"/>
      <c r="E750" s="17"/>
      <c r="F750" s="17"/>
      <c r="G750" s="17"/>
      <c r="H750" s="17"/>
      <c r="I750" s="17"/>
      <c r="J750" s="18"/>
      <c r="K750" s="19"/>
      <c r="L750" s="17"/>
      <c r="M750" s="14"/>
      <c r="N750" s="17"/>
      <c r="O750" s="17"/>
    </row>
    <row r="751" spans="1:15">
      <c r="A751" s="14"/>
      <c r="B751" s="15"/>
      <c r="C751" s="16"/>
      <c r="D751" s="14"/>
      <c r="E751" s="17"/>
      <c r="F751" s="17"/>
      <c r="G751" s="17"/>
      <c r="H751" s="17"/>
      <c r="I751" s="17"/>
      <c r="J751" s="18"/>
      <c r="K751" s="19"/>
      <c r="L751" s="17"/>
      <c r="M751" s="14"/>
      <c r="N751" s="17"/>
      <c r="O751" s="17"/>
    </row>
    <row r="752" spans="1:15">
      <c r="A752" s="14"/>
      <c r="B752" s="15"/>
      <c r="C752" s="16"/>
      <c r="D752" s="14"/>
      <c r="E752" s="17"/>
      <c r="F752" s="17"/>
      <c r="G752" s="17"/>
      <c r="H752" s="17"/>
      <c r="I752" s="17"/>
      <c r="J752" s="18"/>
      <c r="K752" s="19"/>
      <c r="L752" s="17"/>
      <c r="M752" s="14"/>
      <c r="N752" s="17"/>
      <c r="O752" s="17"/>
    </row>
    <row r="753" spans="1:15">
      <c r="A753" s="14"/>
      <c r="B753" s="15"/>
      <c r="C753" s="16"/>
      <c r="D753" s="14"/>
      <c r="E753" s="17"/>
      <c r="F753" s="17"/>
      <c r="G753" s="17"/>
      <c r="H753" s="17"/>
      <c r="I753" s="17"/>
      <c r="J753" s="18"/>
      <c r="K753" s="19"/>
      <c r="L753" s="17"/>
      <c r="M753" s="14"/>
      <c r="N753" s="17"/>
      <c r="O753" s="17"/>
    </row>
    <row r="754" spans="1:15">
      <c r="A754" s="14"/>
      <c r="B754" s="15"/>
      <c r="C754" s="16"/>
      <c r="D754" s="14"/>
      <c r="E754" s="17"/>
      <c r="F754" s="17"/>
      <c r="G754" s="17"/>
      <c r="H754" s="17"/>
      <c r="I754" s="17"/>
      <c r="J754" s="18"/>
      <c r="K754" s="19"/>
      <c r="L754" s="17"/>
      <c r="M754" s="14"/>
      <c r="N754" s="17"/>
      <c r="O754" s="17"/>
    </row>
    <row r="755" spans="1:15">
      <c r="A755" s="14"/>
      <c r="B755" s="15"/>
      <c r="C755" s="16"/>
      <c r="D755" s="14"/>
      <c r="E755" s="17"/>
      <c r="F755" s="17"/>
      <c r="G755" s="17"/>
      <c r="H755" s="17"/>
      <c r="I755" s="17"/>
      <c r="J755" s="18"/>
      <c r="K755" s="19"/>
      <c r="L755" s="17"/>
      <c r="M755" s="14"/>
      <c r="N755" s="17"/>
      <c r="O755" s="17"/>
    </row>
    <row r="756" spans="1:15">
      <c r="A756" s="14"/>
      <c r="B756" s="15"/>
      <c r="C756" s="16"/>
      <c r="D756" s="14"/>
      <c r="E756" s="17"/>
      <c r="F756" s="17"/>
      <c r="G756" s="17"/>
      <c r="H756" s="17"/>
      <c r="I756" s="17"/>
      <c r="J756" s="18"/>
      <c r="K756" s="19"/>
      <c r="L756" s="17"/>
      <c r="M756" s="14"/>
      <c r="N756" s="17"/>
      <c r="O756" s="17"/>
    </row>
    <row r="757" spans="1:15">
      <c r="A757" s="14"/>
      <c r="B757" s="15"/>
      <c r="C757" s="16"/>
      <c r="D757" s="14"/>
      <c r="E757" s="17"/>
      <c r="F757" s="17"/>
      <c r="G757" s="17"/>
      <c r="H757" s="17"/>
      <c r="I757" s="17"/>
      <c r="J757" s="18"/>
      <c r="K757" s="19"/>
      <c r="L757" s="17"/>
      <c r="M757" s="14"/>
      <c r="N757" s="17"/>
      <c r="O757" s="17"/>
    </row>
    <row r="758" spans="1:15">
      <c r="A758" s="14"/>
      <c r="B758" s="15"/>
      <c r="C758" s="16"/>
      <c r="D758" s="14"/>
      <c r="E758" s="17"/>
      <c r="F758" s="17"/>
      <c r="G758" s="17"/>
      <c r="H758" s="17"/>
      <c r="I758" s="17"/>
      <c r="J758" s="18"/>
      <c r="K758" s="19"/>
      <c r="L758" s="17"/>
      <c r="M758" s="14"/>
      <c r="N758" s="17"/>
      <c r="O758" s="17"/>
    </row>
    <row r="759" spans="1:15">
      <c r="A759" s="14"/>
      <c r="B759" s="15"/>
      <c r="C759" s="16"/>
      <c r="D759" s="14"/>
      <c r="E759" s="17"/>
      <c r="F759" s="17"/>
      <c r="G759" s="17"/>
      <c r="H759" s="17"/>
      <c r="I759" s="17"/>
      <c r="J759" s="18"/>
      <c r="K759" s="19"/>
      <c r="L759" s="17"/>
      <c r="M759" s="14"/>
      <c r="N759" s="17"/>
      <c r="O759" s="17"/>
    </row>
    <row r="760" spans="1:15">
      <c r="A760" s="14"/>
      <c r="B760" s="15"/>
      <c r="C760" s="16"/>
      <c r="D760" s="14"/>
      <c r="E760" s="17"/>
      <c r="F760" s="17"/>
      <c r="G760" s="17"/>
      <c r="H760" s="17"/>
      <c r="I760" s="17"/>
      <c r="J760" s="18"/>
      <c r="K760" s="19"/>
      <c r="L760" s="17"/>
      <c r="M760" s="14"/>
      <c r="N760" s="17"/>
      <c r="O760" s="17"/>
    </row>
    <row r="761" spans="1:15">
      <c r="A761" s="14"/>
      <c r="B761" s="15"/>
      <c r="C761" s="16"/>
      <c r="D761" s="14"/>
      <c r="E761" s="17"/>
      <c r="F761" s="17"/>
      <c r="G761" s="17"/>
      <c r="H761" s="17"/>
      <c r="I761" s="17"/>
      <c r="J761" s="18"/>
      <c r="K761" s="19"/>
      <c r="L761" s="17"/>
      <c r="M761" s="14"/>
      <c r="N761" s="17"/>
      <c r="O761" s="17"/>
    </row>
    <row r="762" spans="1:15">
      <c r="A762" s="14"/>
      <c r="B762" s="15"/>
      <c r="C762" s="16"/>
      <c r="D762" s="14"/>
      <c r="E762" s="17"/>
      <c r="F762" s="17"/>
      <c r="G762" s="17"/>
      <c r="H762" s="17"/>
      <c r="I762" s="17"/>
      <c r="J762" s="18"/>
      <c r="K762" s="19"/>
      <c r="L762" s="17"/>
      <c r="M762" s="14"/>
      <c r="N762" s="17"/>
      <c r="O762" s="17"/>
    </row>
    <row r="763" spans="1:15">
      <c r="A763" s="14"/>
      <c r="B763" s="15"/>
      <c r="C763" s="16"/>
      <c r="D763" s="14"/>
      <c r="E763" s="17"/>
      <c r="F763" s="17"/>
      <c r="G763" s="17"/>
      <c r="H763" s="17"/>
      <c r="I763" s="17"/>
      <c r="J763" s="18"/>
      <c r="K763" s="19"/>
      <c r="L763" s="17"/>
      <c r="M763" s="14"/>
      <c r="N763" s="17"/>
      <c r="O763" s="17"/>
    </row>
    <row r="764" spans="1:15">
      <c r="A764" s="14"/>
      <c r="B764" s="15"/>
      <c r="C764" s="16"/>
      <c r="D764" s="14"/>
      <c r="E764" s="17"/>
      <c r="F764" s="17"/>
      <c r="G764" s="17"/>
      <c r="H764" s="17"/>
      <c r="I764" s="17"/>
      <c r="J764" s="18"/>
      <c r="K764" s="19"/>
      <c r="L764" s="17"/>
      <c r="M764" s="14"/>
      <c r="N764" s="17"/>
      <c r="O764" s="17"/>
    </row>
    <row r="765" spans="1:15">
      <c r="A765" s="14"/>
      <c r="B765" s="15"/>
      <c r="C765" s="16"/>
      <c r="D765" s="14"/>
      <c r="E765" s="17"/>
      <c r="F765" s="17"/>
      <c r="G765" s="17"/>
      <c r="H765" s="17"/>
      <c r="I765" s="17"/>
      <c r="J765" s="18"/>
      <c r="K765" s="19"/>
      <c r="L765" s="17"/>
      <c r="M765" s="14"/>
      <c r="N765" s="17"/>
      <c r="O765" s="17"/>
    </row>
    <row r="766" spans="1:15">
      <c r="A766" s="14"/>
      <c r="B766" s="15"/>
      <c r="C766" s="16"/>
      <c r="D766" s="14"/>
      <c r="E766" s="17"/>
      <c r="F766" s="17"/>
      <c r="G766" s="17"/>
      <c r="H766" s="17"/>
      <c r="I766" s="17"/>
      <c r="J766" s="18"/>
      <c r="K766" s="19"/>
      <c r="L766" s="17"/>
      <c r="M766" s="14"/>
      <c r="N766" s="17"/>
      <c r="O766" s="17"/>
    </row>
    <row r="767" spans="1:15">
      <c r="A767" s="14"/>
      <c r="B767" s="15"/>
      <c r="C767" s="16"/>
      <c r="D767" s="14"/>
      <c r="E767" s="17"/>
      <c r="F767" s="17"/>
      <c r="G767" s="17"/>
      <c r="H767" s="17"/>
      <c r="I767" s="17"/>
      <c r="J767" s="18"/>
      <c r="K767" s="19"/>
      <c r="L767" s="17"/>
      <c r="M767" s="14"/>
      <c r="N767" s="17"/>
      <c r="O767" s="17"/>
    </row>
    <row r="768" spans="1:15">
      <c r="A768" s="14"/>
      <c r="B768" s="15"/>
      <c r="C768" s="16"/>
      <c r="D768" s="14"/>
      <c r="E768" s="17"/>
      <c r="F768" s="17"/>
      <c r="G768" s="17"/>
      <c r="H768" s="17"/>
      <c r="I768" s="17"/>
      <c r="J768" s="18"/>
      <c r="K768" s="19"/>
      <c r="L768" s="17"/>
      <c r="M768" s="14"/>
      <c r="N768" s="17"/>
      <c r="O768" s="17"/>
    </row>
    <row r="769" spans="1:15">
      <c r="A769" s="14"/>
      <c r="B769" s="15"/>
      <c r="C769" s="16"/>
      <c r="D769" s="14"/>
      <c r="E769" s="17"/>
      <c r="F769" s="17"/>
      <c r="G769" s="17"/>
      <c r="H769" s="17"/>
      <c r="I769" s="17"/>
      <c r="J769" s="18"/>
      <c r="K769" s="19"/>
      <c r="L769" s="17"/>
      <c r="M769" s="14"/>
      <c r="N769" s="17"/>
      <c r="O769" s="17"/>
    </row>
    <row r="770" spans="1:15">
      <c r="A770" s="14"/>
      <c r="B770" s="15"/>
      <c r="C770" s="16"/>
      <c r="D770" s="14"/>
      <c r="E770" s="17"/>
      <c r="F770" s="17"/>
      <c r="G770" s="17"/>
      <c r="H770" s="17"/>
      <c r="I770" s="17"/>
      <c r="J770" s="18"/>
      <c r="K770" s="19"/>
      <c r="L770" s="17"/>
      <c r="M770" s="14"/>
      <c r="N770" s="17"/>
      <c r="O770" s="17"/>
    </row>
    <row r="771" spans="1:15">
      <c r="A771" s="14"/>
      <c r="B771" s="15"/>
      <c r="C771" s="16"/>
      <c r="D771" s="14"/>
      <c r="E771" s="17"/>
      <c r="F771" s="17"/>
      <c r="G771" s="17"/>
      <c r="H771" s="17"/>
      <c r="I771" s="17"/>
      <c r="J771" s="18"/>
      <c r="K771" s="19"/>
      <c r="L771" s="17"/>
      <c r="M771" s="14"/>
      <c r="N771" s="17"/>
      <c r="O771" s="17"/>
    </row>
    <row r="772" spans="1:15">
      <c r="A772" s="14"/>
      <c r="B772" s="15"/>
      <c r="C772" s="16"/>
      <c r="D772" s="14"/>
      <c r="E772" s="17"/>
      <c r="F772" s="17"/>
      <c r="G772" s="17"/>
      <c r="H772" s="17"/>
      <c r="I772" s="17"/>
      <c r="J772" s="18"/>
      <c r="K772" s="19"/>
      <c r="L772" s="17"/>
      <c r="M772" s="14"/>
      <c r="N772" s="17"/>
      <c r="O772" s="17"/>
    </row>
    <row r="773" spans="1:15">
      <c r="A773" s="14"/>
      <c r="B773" s="15"/>
      <c r="C773" s="16"/>
      <c r="D773" s="14"/>
      <c r="E773" s="17"/>
      <c r="F773" s="17"/>
      <c r="G773" s="17"/>
      <c r="H773" s="17"/>
      <c r="I773" s="17"/>
      <c r="J773" s="18"/>
      <c r="K773" s="19"/>
      <c r="L773" s="17"/>
      <c r="M773" s="14"/>
      <c r="N773" s="17"/>
      <c r="O773" s="17"/>
    </row>
    <row r="774" spans="1:15">
      <c r="A774" s="14"/>
      <c r="B774" s="15"/>
      <c r="C774" s="16"/>
      <c r="D774" s="14"/>
      <c r="E774" s="17"/>
      <c r="F774" s="17"/>
      <c r="G774" s="17"/>
      <c r="H774" s="17"/>
      <c r="I774" s="17"/>
      <c r="J774" s="18"/>
      <c r="K774" s="19"/>
      <c r="L774" s="17"/>
      <c r="M774" s="14"/>
      <c r="N774" s="17"/>
      <c r="O774" s="17"/>
    </row>
    <row r="775" spans="1:15">
      <c r="A775" s="14"/>
      <c r="B775" s="15"/>
      <c r="C775" s="16"/>
      <c r="D775" s="14"/>
      <c r="E775" s="17"/>
      <c r="F775" s="17"/>
      <c r="G775" s="17"/>
      <c r="H775" s="17"/>
      <c r="I775" s="17"/>
      <c r="J775" s="18"/>
      <c r="K775" s="19"/>
      <c r="L775" s="17"/>
      <c r="M775" s="14"/>
      <c r="N775" s="17"/>
      <c r="O775" s="17"/>
    </row>
    <row r="776" spans="1:15">
      <c r="A776" s="14"/>
      <c r="B776" s="15"/>
      <c r="C776" s="16"/>
      <c r="D776" s="14"/>
      <c r="E776" s="17"/>
      <c r="F776" s="17"/>
      <c r="G776" s="17"/>
      <c r="H776" s="17"/>
      <c r="I776" s="17"/>
      <c r="J776" s="18"/>
      <c r="K776" s="19"/>
      <c r="L776" s="17"/>
      <c r="M776" s="14"/>
      <c r="N776" s="17"/>
      <c r="O776" s="17"/>
    </row>
    <row r="777" spans="1:15">
      <c r="A777" s="14"/>
      <c r="B777" s="15"/>
      <c r="C777" s="16"/>
      <c r="D777" s="14"/>
      <c r="E777" s="17"/>
      <c r="F777" s="17"/>
      <c r="G777" s="17"/>
      <c r="H777" s="17"/>
      <c r="I777" s="17"/>
      <c r="J777" s="18"/>
      <c r="K777" s="19"/>
      <c r="L777" s="17"/>
      <c r="M777" s="14"/>
      <c r="N777" s="17"/>
      <c r="O777" s="17"/>
    </row>
    <row r="778" spans="1:15">
      <c r="A778" s="14"/>
      <c r="B778" s="15"/>
      <c r="C778" s="16"/>
      <c r="D778" s="14"/>
      <c r="E778" s="17"/>
      <c r="F778" s="17"/>
      <c r="G778" s="17"/>
      <c r="H778" s="17"/>
      <c r="I778" s="17"/>
      <c r="J778" s="18"/>
      <c r="K778" s="19"/>
      <c r="L778" s="17"/>
      <c r="M778" s="14"/>
      <c r="N778" s="17"/>
      <c r="O778" s="17"/>
    </row>
    <row r="779" spans="1:15">
      <c r="A779" s="14"/>
      <c r="B779" s="15"/>
      <c r="C779" s="16"/>
      <c r="D779" s="14"/>
      <c r="E779" s="17"/>
      <c r="F779" s="17"/>
      <c r="G779" s="17"/>
      <c r="H779" s="17"/>
      <c r="I779" s="17"/>
      <c r="J779" s="18"/>
      <c r="K779" s="19"/>
      <c r="L779" s="17"/>
      <c r="M779" s="14"/>
      <c r="N779" s="17"/>
      <c r="O779" s="17"/>
    </row>
    <row r="780" spans="1:15">
      <c r="A780" s="14"/>
      <c r="B780" s="15"/>
      <c r="C780" s="16"/>
      <c r="D780" s="14"/>
      <c r="E780" s="17"/>
      <c r="F780" s="17"/>
      <c r="G780" s="17"/>
      <c r="H780" s="17"/>
      <c r="I780" s="17"/>
      <c r="J780" s="18"/>
      <c r="K780" s="19"/>
      <c r="L780" s="17"/>
      <c r="M780" s="14"/>
      <c r="N780" s="17"/>
      <c r="O780" s="17"/>
    </row>
    <row r="781" spans="1:15">
      <c r="A781" s="14"/>
      <c r="B781" s="15"/>
      <c r="C781" s="16"/>
      <c r="D781" s="14"/>
      <c r="E781" s="17"/>
      <c r="F781" s="17"/>
      <c r="G781" s="17"/>
      <c r="H781" s="17"/>
      <c r="I781" s="17"/>
      <c r="J781" s="18"/>
      <c r="K781" s="19"/>
      <c r="L781" s="17"/>
      <c r="M781" s="14"/>
      <c r="N781" s="17"/>
      <c r="O781" s="17"/>
    </row>
    <row r="782" spans="1:15">
      <c r="A782" s="14"/>
      <c r="B782" s="15"/>
      <c r="C782" s="16"/>
      <c r="D782" s="14"/>
      <c r="E782" s="17"/>
      <c r="F782" s="17"/>
      <c r="G782" s="17"/>
      <c r="H782" s="17"/>
      <c r="I782" s="17"/>
      <c r="J782" s="18"/>
      <c r="K782" s="19"/>
      <c r="L782" s="17"/>
      <c r="M782" s="14"/>
      <c r="N782" s="17"/>
      <c r="O782" s="17"/>
    </row>
    <row r="783" spans="1:15">
      <c r="A783" s="14"/>
      <c r="B783" s="15"/>
      <c r="C783" s="16"/>
      <c r="D783" s="14"/>
      <c r="E783" s="17"/>
      <c r="F783" s="17"/>
      <c r="G783" s="17"/>
      <c r="H783" s="17"/>
      <c r="I783" s="17"/>
      <c r="J783" s="18"/>
      <c r="K783" s="19"/>
      <c r="L783" s="17"/>
      <c r="M783" s="14"/>
      <c r="N783" s="17"/>
      <c r="O783" s="17"/>
    </row>
    <row r="784" spans="1:15">
      <c r="A784" s="14"/>
      <c r="B784" s="15"/>
      <c r="C784" s="16"/>
      <c r="D784" s="14"/>
      <c r="E784" s="17"/>
      <c r="F784" s="17"/>
      <c r="G784" s="17"/>
      <c r="H784" s="17"/>
      <c r="I784" s="17"/>
      <c r="J784" s="18"/>
      <c r="K784" s="19"/>
      <c r="L784" s="17"/>
      <c r="M784" s="14"/>
      <c r="N784" s="17"/>
      <c r="O784" s="17"/>
    </row>
    <row r="785" spans="1:15">
      <c r="A785" s="14"/>
      <c r="B785" s="15"/>
      <c r="C785" s="16"/>
      <c r="D785" s="14"/>
      <c r="E785" s="17"/>
      <c r="F785" s="17"/>
      <c r="G785" s="17"/>
      <c r="H785" s="17"/>
      <c r="I785" s="17"/>
      <c r="J785" s="18"/>
      <c r="K785" s="19"/>
      <c r="L785" s="17"/>
      <c r="M785" s="14"/>
      <c r="N785" s="17"/>
      <c r="O785" s="17"/>
    </row>
    <row r="786" spans="1:15">
      <c r="A786" s="14"/>
      <c r="B786" s="15"/>
      <c r="C786" s="16"/>
      <c r="D786" s="14"/>
      <c r="E786" s="17"/>
      <c r="F786" s="17"/>
      <c r="G786" s="17"/>
      <c r="H786" s="17"/>
      <c r="I786" s="17"/>
      <c r="J786" s="18"/>
      <c r="K786" s="19"/>
      <c r="L786" s="17"/>
      <c r="M786" s="14"/>
      <c r="N786" s="17"/>
      <c r="O786" s="17"/>
    </row>
    <row r="787" spans="1:15">
      <c r="A787" s="14"/>
      <c r="B787" s="15"/>
      <c r="C787" s="16"/>
      <c r="D787" s="14"/>
      <c r="E787" s="17"/>
      <c r="F787" s="17"/>
      <c r="G787" s="17"/>
      <c r="H787" s="17"/>
      <c r="I787" s="17"/>
      <c r="J787" s="18"/>
      <c r="K787" s="19"/>
      <c r="L787" s="17"/>
      <c r="M787" s="14"/>
      <c r="N787" s="17"/>
      <c r="O787" s="17"/>
    </row>
    <row r="788" spans="1:15">
      <c r="A788" s="14"/>
      <c r="B788" s="15"/>
      <c r="C788" s="16"/>
      <c r="D788" s="14"/>
      <c r="E788" s="17"/>
      <c r="F788" s="17"/>
      <c r="G788" s="17"/>
      <c r="H788" s="17"/>
      <c r="I788" s="17"/>
      <c r="J788" s="18"/>
      <c r="K788" s="19"/>
      <c r="L788" s="17"/>
      <c r="M788" s="14"/>
      <c r="N788" s="17"/>
      <c r="O788" s="17"/>
    </row>
    <row r="789" spans="1:15">
      <c r="A789" s="14"/>
      <c r="B789" s="15"/>
      <c r="C789" s="16"/>
      <c r="D789" s="14"/>
      <c r="E789" s="17"/>
      <c r="F789" s="17"/>
      <c r="G789" s="17"/>
      <c r="H789" s="17"/>
      <c r="I789" s="17"/>
      <c r="J789" s="18"/>
      <c r="K789" s="19"/>
      <c r="L789" s="17"/>
      <c r="M789" s="14"/>
      <c r="N789" s="17"/>
      <c r="O789" s="17"/>
    </row>
    <row r="790" spans="1:15">
      <c r="A790" s="14"/>
      <c r="B790" s="15"/>
      <c r="C790" s="16"/>
      <c r="D790" s="14"/>
      <c r="E790" s="17"/>
      <c r="F790" s="17"/>
      <c r="G790" s="17"/>
      <c r="H790" s="17"/>
      <c r="I790" s="17"/>
      <c r="J790" s="18"/>
      <c r="K790" s="19"/>
      <c r="L790" s="17"/>
      <c r="M790" s="14"/>
      <c r="N790" s="17"/>
      <c r="O790" s="17"/>
    </row>
    <row r="791" spans="1:15">
      <c r="A791" s="14"/>
      <c r="B791" s="15"/>
      <c r="C791" s="16"/>
      <c r="D791" s="14"/>
      <c r="E791" s="17"/>
      <c r="F791" s="17"/>
      <c r="G791" s="17"/>
      <c r="H791" s="17"/>
      <c r="I791" s="17"/>
      <c r="J791" s="18"/>
      <c r="K791" s="19"/>
      <c r="L791" s="17"/>
      <c r="M791" s="14"/>
      <c r="N791" s="17"/>
      <c r="O791" s="17"/>
    </row>
    <row r="792" spans="1:15">
      <c r="A792" s="14"/>
      <c r="B792" s="15"/>
      <c r="C792" s="16"/>
      <c r="D792" s="14"/>
      <c r="E792" s="17"/>
      <c r="F792" s="17"/>
      <c r="G792" s="17"/>
      <c r="H792" s="17"/>
      <c r="I792" s="17"/>
      <c r="J792" s="18"/>
      <c r="K792" s="19"/>
      <c r="L792" s="17"/>
      <c r="M792" s="14"/>
      <c r="N792" s="17"/>
      <c r="O792" s="17"/>
    </row>
    <row r="793" spans="1:15">
      <c r="A793" s="14"/>
      <c r="B793" s="15"/>
      <c r="C793" s="16"/>
      <c r="D793" s="14"/>
      <c r="E793" s="17"/>
      <c r="F793" s="17"/>
      <c r="G793" s="17"/>
      <c r="H793" s="17"/>
      <c r="I793" s="17"/>
      <c r="J793" s="18"/>
      <c r="K793" s="19"/>
      <c r="L793" s="17"/>
      <c r="M793" s="14"/>
      <c r="N793" s="17"/>
      <c r="O793" s="17"/>
    </row>
    <row r="794" spans="1:15">
      <c r="A794" s="14"/>
      <c r="B794" s="15"/>
      <c r="C794" s="16"/>
      <c r="D794" s="14"/>
      <c r="E794" s="17"/>
      <c r="F794" s="17"/>
      <c r="G794" s="17"/>
      <c r="H794" s="17"/>
      <c r="I794" s="17"/>
      <c r="J794" s="18"/>
      <c r="K794" s="19"/>
      <c r="L794" s="17"/>
      <c r="M794" s="14"/>
      <c r="N794" s="17"/>
      <c r="O794" s="17"/>
    </row>
    <row r="795" spans="1:15">
      <c r="A795" s="14"/>
      <c r="B795" s="15"/>
      <c r="C795" s="16"/>
      <c r="D795" s="14"/>
      <c r="E795" s="17"/>
      <c r="F795" s="17"/>
      <c r="G795" s="17"/>
      <c r="H795" s="17"/>
      <c r="I795" s="17"/>
      <c r="J795" s="18"/>
      <c r="K795" s="19"/>
      <c r="L795" s="17"/>
      <c r="M795" s="14"/>
      <c r="N795" s="17"/>
      <c r="O795" s="17"/>
    </row>
    <row r="796" spans="1:15">
      <c r="A796" s="14"/>
      <c r="B796" s="15"/>
      <c r="C796" s="16"/>
      <c r="D796" s="14"/>
      <c r="E796" s="17"/>
      <c r="F796" s="17"/>
      <c r="G796" s="17"/>
      <c r="H796" s="17"/>
      <c r="I796" s="17"/>
      <c r="J796" s="18"/>
      <c r="K796" s="19"/>
      <c r="L796" s="17"/>
      <c r="M796" s="14"/>
      <c r="N796" s="17"/>
      <c r="O796" s="17"/>
    </row>
    <row r="797" spans="1:15">
      <c r="A797" s="14"/>
      <c r="B797" s="15"/>
      <c r="C797" s="16"/>
      <c r="D797" s="14"/>
      <c r="E797" s="17"/>
      <c r="F797" s="17"/>
      <c r="G797" s="17"/>
      <c r="H797" s="17"/>
      <c r="I797" s="17"/>
      <c r="J797" s="18"/>
      <c r="K797" s="19"/>
      <c r="L797" s="17"/>
      <c r="M797" s="14"/>
      <c r="N797" s="17"/>
      <c r="O797" s="17"/>
    </row>
    <row r="798" spans="1:15">
      <c r="A798" s="14"/>
      <c r="B798" s="15"/>
      <c r="C798" s="16"/>
      <c r="D798" s="14"/>
      <c r="E798" s="17"/>
      <c r="F798" s="17"/>
      <c r="G798" s="17"/>
      <c r="H798" s="17"/>
      <c r="I798" s="17"/>
      <c r="J798" s="18"/>
      <c r="K798" s="19"/>
      <c r="L798" s="17"/>
      <c r="M798" s="14"/>
      <c r="N798" s="17"/>
      <c r="O798" s="17"/>
    </row>
    <row r="799" spans="1:15">
      <c r="A799" s="14"/>
      <c r="B799" s="15"/>
      <c r="C799" s="16"/>
      <c r="D799" s="14"/>
      <c r="E799" s="17"/>
      <c r="F799" s="17"/>
      <c r="G799" s="17"/>
      <c r="H799" s="17"/>
      <c r="I799" s="17"/>
      <c r="J799" s="18"/>
      <c r="K799" s="19"/>
      <c r="L799" s="17"/>
      <c r="M799" s="14"/>
      <c r="N799" s="17"/>
      <c r="O799" s="17"/>
    </row>
    <row r="800" spans="1:15">
      <c r="A800" s="14"/>
      <c r="B800" s="15"/>
      <c r="C800" s="16"/>
      <c r="D800" s="14"/>
      <c r="E800" s="17"/>
      <c r="F800" s="17"/>
      <c r="G800" s="17"/>
      <c r="H800" s="17"/>
      <c r="I800" s="17"/>
      <c r="J800" s="18"/>
      <c r="K800" s="19"/>
      <c r="L800" s="17"/>
      <c r="M800" s="14"/>
      <c r="N800" s="17"/>
      <c r="O800" s="17"/>
    </row>
    <row r="801" spans="1:15">
      <c r="A801" s="14"/>
      <c r="B801" s="15"/>
      <c r="C801" s="16"/>
      <c r="D801" s="14"/>
      <c r="E801" s="17"/>
      <c r="F801" s="17"/>
      <c r="G801" s="17"/>
      <c r="H801" s="17"/>
      <c r="I801" s="17"/>
      <c r="J801" s="18"/>
      <c r="K801" s="19"/>
      <c r="L801" s="17"/>
      <c r="M801" s="14"/>
      <c r="N801" s="17"/>
      <c r="O801" s="17"/>
    </row>
    <row r="802" spans="1:15">
      <c r="A802" s="14"/>
      <c r="B802" s="15"/>
      <c r="C802" s="16"/>
      <c r="D802" s="14"/>
      <c r="E802" s="17"/>
      <c r="F802" s="17"/>
      <c r="G802" s="17"/>
      <c r="H802" s="17"/>
      <c r="I802" s="17"/>
      <c r="J802" s="18"/>
      <c r="K802" s="19"/>
      <c r="L802" s="17"/>
      <c r="M802" s="14"/>
      <c r="N802" s="17"/>
      <c r="O802" s="17"/>
    </row>
    <row r="803" spans="1:15">
      <c r="A803" s="14"/>
      <c r="B803" s="15"/>
      <c r="C803" s="16"/>
      <c r="D803" s="14"/>
      <c r="E803" s="17"/>
      <c r="F803" s="17"/>
      <c r="G803" s="17"/>
      <c r="H803" s="17"/>
      <c r="I803" s="17"/>
      <c r="J803" s="18"/>
      <c r="K803" s="19"/>
      <c r="L803" s="17"/>
      <c r="M803" s="14"/>
      <c r="N803" s="17"/>
      <c r="O803" s="17"/>
    </row>
    <row r="804" spans="1:15">
      <c r="A804" s="14"/>
      <c r="B804" s="15"/>
      <c r="C804" s="16"/>
      <c r="D804" s="14"/>
      <c r="E804" s="17"/>
      <c r="F804" s="17"/>
      <c r="G804" s="17"/>
      <c r="H804" s="17"/>
      <c r="I804" s="17"/>
      <c r="J804" s="18"/>
      <c r="K804" s="19"/>
      <c r="L804" s="17"/>
      <c r="M804" s="14"/>
      <c r="N804" s="17"/>
      <c r="O804" s="17"/>
    </row>
    <row r="805" spans="1:15">
      <c r="A805" s="14"/>
      <c r="B805" s="15"/>
      <c r="C805" s="16"/>
      <c r="D805" s="14"/>
      <c r="E805" s="17"/>
      <c r="F805" s="17"/>
      <c r="G805" s="17"/>
      <c r="H805" s="17"/>
      <c r="I805" s="17"/>
      <c r="J805" s="18"/>
      <c r="K805" s="19"/>
      <c r="L805" s="17"/>
      <c r="M805" s="14"/>
      <c r="N805" s="17"/>
      <c r="O805" s="17"/>
    </row>
    <row r="806" spans="1:15">
      <c r="A806" s="14"/>
      <c r="B806" s="15"/>
      <c r="C806" s="16"/>
      <c r="D806" s="14"/>
      <c r="E806" s="17"/>
      <c r="F806" s="17"/>
      <c r="G806" s="17"/>
      <c r="H806" s="17"/>
      <c r="I806" s="17"/>
      <c r="J806" s="18"/>
      <c r="K806" s="19"/>
      <c r="L806" s="17"/>
      <c r="M806" s="14"/>
      <c r="N806" s="17"/>
      <c r="O806" s="17"/>
    </row>
    <row r="807" spans="1:15">
      <c r="A807" s="14"/>
      <c r="B807" s="15"/>
      <c r="C807" s="16"/>
      <c r="D807" s="14"/>
      <c r="E807" s="17"/>
      <c r="F807" s="17"/>
      <c r="G807" s="17"/>
      <c r="H807" s="17"/>
      <c r="I807" s="17"/>
      <c r="J807" s="18"/>
      <c r="K807" s="19"/>
      <c r="L807" s="17"/>
      <c r="M807" s="14"/>
      <c r="N807" s="17"/>
      <c r="O807" s="17"/>
    </row>
    <row r="808" spans="1:15">
      <c r="A808" s="14"/>
      <c r="B808" s="15"/>
      <c r="C808" s="16"/>
      <c r="D808" s="14"/>
      <c r="E808" s="17"/>
      <c r="F808" s="17"/>
      <c r="G808" s="17"/>
      <c r="H808" s="17"/>
      <c r="I808" s="17"/>
      <c r="J808" s="18"/>
      <c r="K808" s="19"/>
      <c r="L808" s="17"/>
      <c r="M808" s="14"/>
      <c r="N808" s="17"/>
      <c r="O808" s="17"/>
    </row>
    <row r="809" spans="1:15">
      <c r="A809" s="14"/>
      <c r="B809" s="15"/>
      <c r="C809" s="16"/>
      <c r="D809" s="14"/>
      <c r="E809" s="17"/>
      <c r="F809" s="17"/>
      <c r="G809" s="17"/>
      <c r="H809" s="17"/>
      <c r="I809" s="17"/>
      <c r="J809" s="18"/>
      <c r="K809" s="19"/>
      <c r="L809" s="17"/>
      <c r="M809" s="14"/>
      <c r="N809" s="17"/>
      <c r="O809" s="17"/>
    </row>
    <row r="810" spans="1:15">
      <c r="A810" s="14"/>
      <c r="B810" s="15"/>
      <c r="C810" s="16"/>
      <c r="D810" s="14"/>
      <c r="E810" s="17"/>
      <c r="F810" s="17"/>
      <c r="G810" s="17"/>
      <c r="H810" s="17"/>
      <c r="I810" s="17"/>
      <c r="J810" s="18"/>
      <c r="K810" s="19"/>
      <c r="L810" s="17"/>
      <c r="M810" s="14"/>
      <c r="N810" s="17"/>
      <c r="O810" s="17"/>
    </row>
    <row r="811" spans="1:15">
      <c r="A811" s="14"/>
      <c r="B811" s="15"/>
      <c r="C811" s="16"/>
      <c r="D811" s="14"/>
      <c r="E811" s="17"/>
      <c r="F811" s="17"/>
      <c r="G811" s="17"/>
      <c r="H811" s="17"/>
      <c r="I811" s="17"/>
      <c r="J811" s="18"/>
      <c r="K811" s="19"/>
      <c r="L811" s="17"/>
      <c r="M811" s="14"/>
      <c r="N811" s="17"/>
      <c r="O811" s="17"/>
    </row>
    <row r="812" spans="1:15">
      <c r="A812" s="14"/>
      <c r="B812" s="15"/>
      <c r="C812" s="16"/>
      <c r="D812" s="14"/>
      <c r="E812" s="17"/>
      <c r="F812" s="17"/>
      <c r="G812" s="17"/>
      <c r="H812" s="17"/>
      <c r="I812" s="17"/>
      <c r="J812" s="18"/>
      <c r="K812" s="19"/>
      <c r="L812" s="17"/>
      <c r="M812" s="14"/>
      <c r="N812" s="17"/>
      <c r="O812" s="17"/>
    </row>
    <row r="813" spans="1:15">
      <c r="A813" s="14"/>
      <c r="B813" s="15"/>
      <c r="C813" s="16"/>
      <c r="D813" s="14"/>
      <c r="E813" s="17"/>
      <c r="F813" s="17"/>
      <c r="G813" s="17"/>
      <c r="H813" s="17"/>
      <c r="I813" s="17"/>
      <c r="J813" s="18"/>
      <c r="K813" s="19"/>
      <c r="L813" s="17"/>
      <c r="M813" s="14"/>
      <c r="N813" s="17"/>
      <c r="O813" s="17"/>
    </row>
    <row r="814" spans="1:15">
      <c r="A814" s="14"/>
      <c r="B814" s="15"/>
      <c r="C814" s="16"/>
      <c r="D814" s="14"/>
      <c r="E814" s="17"/>
      <c r="F814" s="17"/>
      <c r="G814" s="17"/>
      <c r="H814" s="17"/>
      <c r="I814" s="17"/>
      <c r="J814" s="18"/>
      <c r="K814" s="19"/>
      <c r="L814" s="17"/>
      <c r="M814" s="14"/>
      <c r="N814" s="17"/>
      <c r="O814" s="17"/>
    </row>
    <row r="815" spans="1:15">
      <c r="A815" s="14"/>
      <c r="B815" s="15"/>
      <c r="C815" s="16"/>
      <c r="D815" s="14"/>
      <c r="E815" s="17"/>
      <c r="F815" s="17"/>
      <c r="G815" s="17"/>
      <c r="H815" s="17"/>
      <c r="I815" s="17"/>
      <c r="J815" s="18"/>
      <c r="K815" s="19"/>
      <c r="L815" s="17"/>
      <c r="M815" s="14"/>
      <c r="N815" s="17"/>
      <c r="O815" s="17"/>
    </row>
    <row r="816" spans="1:15">
      <c r="A816" s="14"/>
      <c r="B816" s="15"/>
      <c r="C816" s="16"/>
      <c r="D816" s="14"/>
      <c r="E816" s="17"/>
      <c r="F816" s="17"/>
      <c r="G816" s="17"/>
      <c r="H816" s="17"/>
      <c r="I816" s="17"/>
      <c r="J816" s="18"/>
      <c r="K816" s="19"/>
      <c r="L816" s="17"/>
      <c r="M816" s="14"/>
      <c r="N816" s="17"/>
      <c r="O816" s="17"/>
    </row>
    <row r="817" spans="1:15">
      <c r="A817" s="14"/>
      <c r="B817" s="15"/>
      <c r="C817" s="16"/>
      <c r="D817" s="14"/>
      <c r="E817" s="17"/>
      <c r="F817" s="17"/>
      <c r="G817" s="17"/>
      <c r="H817" s="17"/>
      <c r="I817" s="17"/>
      <c r="J817" s="18"/>
      <c r="K817" s="19"/>
      <c r="L817" s="17"/>
      <c r="M817" s="14"/>
      <c r="N817" s="17"/>
      <c r="O817" s="17"/>
    </row>
    <row r="818" spans="1:15">
      <c r="A818" s="14"/>
      <c r="B818" s="15"/>
      <c r="C818" s="16"/>
      <c r="D818" s="14"/>
      <c r="E818" s="17"/>
      <c r="F818" s="17"/>
      <c r="G818" s="17"/>
      <c r="H818" s="17"/>
      <c r="I818" s="17"/>
      <c r="J818" s="18"/>
      <c r="K818" s="19"/>
      <c r="L818" s="17"/>
      <c r="M818" s="14"/>
      <c r="N818" s="17"/>
      <c r="O818" s="17"/>
    </row>
    <row r="819" spans="1:15">
      <c r="A819" s="14"/>
      <c r="B819" s="15"/>
      <c r="C819" s="16"/>
      <c r="D819" s="14"/>
      <c r="E819" s="17"/>
      <c r="F819" s="17"/>
      <c r="G819" s="17"/>
      <c r="H819" s="17"/>
      <c r="I819" s="17"/>
      <c r="J819" s="18"/>
      <c r="K819" s="19"/>
      <c r="L819" s="17"/>
      <c r="M819" s="14"/>
      <c r="N819" s="17"/>
      <c r="O819" s="17"/>
    </row>
    <row r="820" spans="1:15">
      <c r="A820" s="14"/>
      <c r="B820" s="15"/>
      <c r="C820" s="16"/>
      <c r="D820" s="14"/>
      <c r="E820" s="17"/>
      <c r="F820" s="17"/>
      <c r="G820" s="17"/>
      <c r="H820" s="17"/>
      <c r="I820" s="17"/>
      <c r="J820" s="18"/>
      <c r="K820" s="19"/>
      <c r="L820" s="17"/>
      <c r="M820" s="14"/>
      <c r="N820" s="17"/>
      <c r="O820" s="17"/>
    </row>
    <row r="821" spans="1:15">
      <c r="A821" s="14"/>
      <c r="B821" s="15"/>
      <c r="C821" s="16"/>
      <c r="D821" s="14"/>
      <c r="E821" s="17"/>
      <c r="F821" s="17"/>
      <c r="G821" s="17"/>
      <c r="H821" s="17"/>
      <c r="I821" s="17"/>
      <c r="J821" s="18"/>
      <c r="K821" s="19"/>
      <c r="L821" s="17"/>
      <c r="M821" s="14"/>
      <c r="N821" s="17"/>
      <c r="O821" s="17"/>
    </row>
    <row r="822" spans="1:15">
      <c r="A822" s="14"/>
      <c r="B822" s="15"/>
      <c r="C822" s="16"/>
      <c r="D822" s="14"/>
      <c r="E822" s="17"/>
      <c r="F822" s="17"/>
      <c r="G822" s="17"/>
      <c r="H822" s="17"/>
      <c r="I822" s="17"/>
      <c r="J822" s="18"/>
      <c r="K822" s="19"/>
      <c r="L822" s="17"/>
      <c r="M822" s="14"/>
      <c r="N822" s="17"/>
      <c r="O822" s="17"/>
    </row>
    <row r="823" spans="1:15">
      <c r="A823" s="14"/>
      <c r="B823" s="15"/>
      <c r="C823" s="16"/>
      <c r="D823" s="14"/>
      <c r="E823" s="17"/>
      <c r="F823" s="17"/>
      <c r="G823" s="17"/>
      <c r="H823" s="17"/>
      <c r="I823" s="17"/>
      <c r="J823" s="18"/>
      <c r="K823" s="19"/>
      <c r="L823" s="17"/>
      <c r="M823" s="14"/>
      <c r="N823" s="17"/>
      <c r="O823" s="17"/>
    </row>
    <row r="824" spans="1:15">
      <c r="A824" s="14"/>
      <c r="B824" s="15"/>
      <c r="C824" s="16"/>
      <c r="D824" s="14"/>
      <c r="E824" s="17"/>
      <c r="F824" s="17"/>
      <c r="G824" s="17"/>
      <c r="H824" s="17"/>
      <c r="I824" s="17"/>
      <c r="J824" s="18"/>
      <c r="K824" s="19"/>
      <c r="L824" s="17"/>
      <c r="M824" s="14"/>
      <c r="N824" s="17"/>
      <c r="O824" s="17"/>
    </row>
    <row r="825" spans="1:15">
      <c r="A825" s="14"/>
      <c r="B825" s="15"/>
      <c r="C825" s="16"/>
      <c r="D825" s="14"/>
      <c r="E825" s="17"/>
      <c r="F825" s="17"/>
      <c r="G825" s="17"/>
      <c r="H825" s="17"/>
      <c r="I825" s="17"/>
      <c r="J825" s="18"/>
      <c r="K825" s="19"/>
      <c r="L825" s="17"/>
      <c r="M825" s="14"/>
      <c r="N825" s="17"/>
      <c r="O825" s="17"/>
    </row>
    <row r="826" spans="1:15">
      <c r="A826" s="14"/>
      <c r="B826" s="15"/>
      <c r="C826" s="16"/>
      <c r="D826" s="14"/>
      <c r="E826" s="17"/>
      <c r="F826" s="17"/>
      <c r="G826" s="17"/>
      <c r="H826" s="17"/>
      <c r="I826" s="17"/>
      <c r="J826" s="18"/>
      <c r="K826" s="19"/>
      <c r="L826" s="17"/>
      <c r="M826" s="14"/>
      <c r="N826" s="17"/>
      <c r="O826" s="17"/>
    </row>
    <row r="827" spans="1:15">
      <c r="A827" s="14"/>
      <c r="B827" s="15"/>
      <c r="C827" s="16"/>
      <c r="D827" s="14"/>
      <c r="E827" s="17"/>
      <c r="F827" s="17"/>
      <c r="G827" s="17"/>
      <c r="H827" s="17"/>
      <c r="I827" s="17"/>
      <c r="J827" s="18"/>
      <c r="K827" s="19"/>
      <c r="L827" s="17"/>
      <c r="M827" s="14"/>
      <c r="N827" s="17"/>
      <c r="O827" s="17"/>
    </row>
    <row r="828" spans="1:15">
      <c r="A828" s="14"/>
      <c r="B828" s="15"/>
      <c r="C828" s="16"/>
      <c r="D828" s="14"/>
      <c r="E828" s="17"/>
      <c r="F828" s="17"/>
      <c r="G828" s="17"/>
      <c r="H828" s="17"/>
      <c r="I828" s="17"/>
      <c r="J828" s="18"/>
      <c r="K828" s="19"/>
      <c r="L828" s="17"/>
      <c r="M828" s="14"/>
      <c r="N828" s="17"/>
      <c r="O828" s="17"/>
    </row>
    <row r="829" spans="1:15">
      <c r="A829" s="14"/>
      <c r="B829" s="15"/>
      <c r="C829" s="16"/>
      <c r="D829" s="14"/>
      <c r="E829" s="17"/>
      <c r="F829" s="17"/>
      <c r="G829" s="17"/>
      <c r="H829" s="17"/>
      <c r="I829" s="17"/>
      <c r="J829" s="18"/>
      <c r="K829" s="19"/>
      <c r="L829" s="17"/>
      <c r="M829" s="14"/>
      <c r="N829" s="17"/>
      <c r="O829" s="17"/>
    </row>
    <row r="830" spans="1:15">
      <c r="A830" s="14"/>
      <c r="B830" s="15"/>
      <c r="C830" s="16"/>
      <c r="D830" s="14"/>
      <c r="E830" s="17"/>
      <c r="F830" s="17"/>
      <c r="G830" s="17"/>
      <c r="H830" s="17"/>
      <c r="I830" s="17"/>
      <c r="J830" s="18"/>
      <c r="K830" s="19"/>
      <c r="L830" s="17"/>
      <c r="M830" s="14"/>
      <c r="N830" s="17"/>
      <c r="O830" s="17"/>
    </row>
    <row r="831" spans="1:15">
      <c r="A831" s="14"/>
      <c r="B831" s="15"/>
      <c r="C831" s="16"/>
      <c r="D831" s="14"/>
      <c r="E831" s="17"/>
      <c r="F831" s="17"/>
      <c r="G831" s="17"/>
      <c r="H831" s="17"/>
      <c r="I831" s="17"/>
      <c r="J831" s="18"/>
      <c r="K831" s="19"/>
      <c r="L831" s="17"/>
      <c r="M831" s="14"/>
      <c r="N831" s="17"/>
      <c r="O831" s="17"/>
    </row>
    <row r="832" spans="1:15">
      <c r="A832" s="14"/>
      <c r="B832" s="15"/>
      <c r="C832" s="16"/>
      <c r="D832" s="14"/>
      <c r="E832" s="17"/>
      <c r="F832" s="17"/>
      <c r="G832" s="17"/>
      <c r="H832" s="17"/>
      <c r="I832" s="17"/>
      <c r="J832" s="18"/>
      <c r="K832" s="19"/>
      <c r="L832" s="17"/>
      <c r="M832" s="14"/>
      <c r="N832" s="17"/>
      <c r="O832" s="17"/>
    </row>
    <row r="833" spans="1:15">
      <c r="A833" s="14"/>
      <c r="B833" s="15"/>
      <c r="C833" s="16"/>
      <c r="D833" s="14"/>
      <c r="E833" s="17"/>
      <c r="F833" s="17"/>
      <c r="G833" s="17"/>
      <c r="H833" s="17"/>
      <c r="I833" s="17"/>
      <c r="J833" s="18"/>
      <c r="K833" s="19"/>
      <c r="L833" s="17"/>
      <c r="M833" s="14"/>
      <c r="N833" s="17"/>
      <c r="O833" s="17"/>
    </row>
    <row r="834" spans="1:15">
      <c r="A834" s="14"/>
      <c r="B834" s="15"/>
      <c r="C834" s="16"/>
      <c r="D834" s="14"/>
      <c r="E834" s="17"/>
      <c r="F834" s="17"/>
      <c r="G834" s="17"/>
      <c r="H834" s="17"/>
      <c r="I834" s="17"/>
      <c r="J834" s="18"/>
      <c r="K834" s="19"/>
      <c r="L834" s="17"/>
      <c r="M834" s="14"/>
      <c r="N834" s="17"/>
      <c r="O834" s="17"/>
    </row>
    <row r="835" spans="1:15">
      <c r="A835" s="14"/>
      <c r="B835" s="15"/>
      <c r="C835" s="16"/>
      <c r="D835" s="14"/>
      <c r="E835" s="17"/>
      <c r="F835" s="17"/>
      <c r="G835" s="17"/>
      <c r="H835" s="17"/>
      <c r="I835" s="17"/>
      <c r="J835" s="18"/>
      <c r="K835" s="19"/>
      <c r="L835" s="17"/>
      <c r="M835" s="14"/>
      <c r="N835" s="17"/>
      <c r="O835" s="17"/>
    </row>
    <row r="836" spans="1:15">
      <c r="A836" s="14"/>
      <c r="B836" s="15"/>
      <c r="C836" s="16"/>
      <c r="D836" s="14"/>
      <c r="E836" s="17"/>
      <c r="F836" s="17"/>
      <c r="G836" s="17"/>
      <c r="H836" s="17"/>
      <c r="I836" s="17"/>
      <c r="J836" s="18"/>
      <c r="K836" s="19"/>
      <c r="L836" s="17"/>
      <c r="M836" s="14"/>
      <c r="N836" s="17"/>
      <c r="O836" s="17"/>
    </row>
    <row r="837" spans="1:15">
      <c r="A837" s="14"/>
      <c r="B837" s="15"/>
      <c r="C837" s="16"/>
      <c r="D837" s="14"/>
      <c r="E837" s="17"/>
      <c r="F837" s="17"/>
      <c r="G837" s="17"/>
      <c r="H837" s="17"/>
      <c r="I837" s="17"/>
      <c r="J837" s="18"/>
      <c r="K837" s="19"/>
      <c r="L837" s="17"/>
      <c r="M837" s="14"/>
      <c r="N837" s="17"/>
      <c r="O837" s="17"/>
    </row>
    <row r="838" spans="1:15">
      <c r="A838" s="14"/>
      <c r="B838" s="15"/>
      <c r="C838" s="16"/>
      <c r="D838" s="14"/>
      <c r="E838" s="17"/>
      <c r="F838" s="17"/>
      <c r="G838" s="17"/>
      <c r="H838" s="17"/>
      <c r="I838" s="17"/>
      <c r="J838" s="18"/>
      <c r="K838" s="19"/>
      <c r="L838" s="17"/>
      <c r="M838" s="14"/>
      <c r="N838" s="17"/>
      <c r="O838" s="17"/>
    </row>
    <row r="839" spans="1:15">
      <c r="A839" s="14"/>
      <c r="B839" s="15"/>
      <c r="C839" s="16"/>
      <c r="D839" s="14"/>
      <c r="E839" s="17"/>
      <c r="F839" s="17"/>
      <c r="G839" s="17"/>
      <c r="H839" s="17"/>
      <c r="I839" s="17"/>
      <c r="J839" s="18"/>
      <c r="K839" s="19"/>
      <c r="L839" s="17"/>
      <c r="M839" s="14"/>
      <c r="N839" s="17"/>
      <c r="O839" s="17"/>
    </row>
    <row r="840" spans="1:15">
      <c r="A840" s="14"/>
      <c r="B840" s="15"/>
      <c r="C840" s="16"/>
      <c r="D840" s="14"/>
      <c r="E840" s="17"/>
      <c r="F840" s="17"/>
      <c r="G840" s="17"/>
      <c r="H840" s="17"/>
      <c r="I840" s="17"/>
      <c r="J840" s="18"/>
      <c r="K840" s="19"/>
      <c r="L840" s="17"/>
      <c r="M840" s="14"/>
      <c r="N840" s="17"/>
      <c r="O840" s="17"/>
    </row>
    <row r="841" spans="1:15">
      <c r="A841" s="14"/>
      <c r="B841" s="15"/>
      <c r="C841" s="16"/>
      <c r="D841" s="14"/>
      <c r="E841" s="17"/>
      <c r="F841" s="17"/>
      <c r="G841" s="17"/>
      <c r="H841" s="17"/>
      <c r="I841" s="17"/>
      <c r="J841" s="18"/>
      <c r="K841" s="19"/>
      <c r="L841" s="17"/>
      <c r="M841" s="14"/>
      <c r="N841" s="17"/>
      <c r="O841" s="17"/>
    </row>
    <row r="842" spans="1:15">
      <c r="A842" s="14"/>
      <c r="B842" s="15"/>
      <c r="C842" s="16"/>
      <c r="D842" s="14"/>
      <c r="E842" s="17"/>
      <c r="F842" s="17"/>
      <c r="G842" s="17"/>
      <c r="H842" s="17"/>
      <c r="I842" s="17"/>
      <c r="J842" s="18"/>
      <c r="K842" s="19"/>
      <c r="L842" s="17"/>
      <c r="M842" s="14"/>
      <c r="N842" s="17"/>
      <c r="O842" s="17"/>
    </row>
    <row r="843" spans="1:15">
      <c r="A843" s="14"/>
      <c r="B843" s="15"/>
      <c r="C843" s="16"/>
      <c r="D843" s="14"/>
      <c r="E843" s="17"/>
      <c r="F843" s="17"/>
      <c r="G843" s="17"/>
      <c r="H843" s="17"/>
      <c r="I843" s="17"/>
      <c r="J843" s="18"/>
      <c r="K843" s="19"/>
      <c r="L843" s="17"/>
      <c r="M843" s="14"/>
      <c r="N843" s="17"/>
      <c r="O843" s="17"/>
    </row>
    <row r="844" spans="1:15">
      <c r="A844" s="14"/>
      <c r="B844" s="15"/>
      <c r="C844" s="16"/>
      <c r="D844" s="14"/>
      <c r="E844" s="17"/>
      <c r="F844" s="17"/>
      <c r="G844" s="17"/>
      <c r="H844" s="17"/>
      <c r="I844" s="17"/>
      <c r="J844" s="18"/>
      <c r="K844" s="19"/>
      <c r="L844" s="17"/>
      <c r="M844" s="14"/>
      <c r="N844" s="17"/>
      <c r="O844" s="17"/>
    </row>
    <row r="845" spans="1:15">
      <c r="A845" s="14"/>
      <c r="B845" s="15"/>
      <c r="C845" s="16"/>
      <c r="D845" s="14"/>
      <c r="E845" s="17"/>
      <c r="F845" s="17"/>
      <c r="G845" s="17"/>
      <c r="H845" s="17"/>
      <c r="I845" s="17"/>
      <c r="J845" s="18"/>
      <c r="K845" s="19"/>
      <c r="L845" s="17"/>
      <c r="M845" s="14"/>
      <c r="N845" s="17"/>
      <c r="O845" s="17"/>
    </row>
    <row r="846" spans="1:15">
      <c r="A846" s="14"/>
      <c r="B846" s="15"/>
      <c r="C846" s="16"/>
      <c r="D846" s="14"/>
      <c r="E846" s="17"/>
      <c r="F846" s="17"/>
      <c r="G846" s="17"/>
      <c r="H846" s="17"/>
      <c r="I846" s="17"/>
      <c r="J846" s="18"/>
      <c r="K846" s="19"/>
      <c r="L846" s="17"/>
      <c r="M846" s="14"/>
      <c r="N846" s="17"/>
      <c r="O846" s="17"/>
    </row>
    <row r="847" spans="1:15">
      <c r="A847" s="14"/>
      <c r="B847" s="15"/>
      <c r="C847" s="16"/>
      <c r="D847" s="14"/>
      <c r="E847" s="17"/>
      <c r="F847" s="17"/>
      <c r="G847" s="17"/>
      <c r="H847" s="17"/>
      <c r="I847" s="17"/>
      <c r="J847" s="18"/>
      <c r="K847" s="19"/>
      <c r="L847" s="17"/>
      <c r="M847" s="14"/>
      <c r="N847" s="17"/>
      <c r="O847" s="17"/>
    </row>
    <row r="848" spans="1:15">
      <c r="A848" s="14"/>
      <c r="B848" s="15"/>
      <c r="C848" s="16"/>
      <c r="D848" s="14"/>
      <c r="E848" s="17"/>
      <c r="F848" s="17"/>
      <c r="G848" s="17"/>
      <c r="H848" s="17"/>
      <c r="I848" s="17"/>
      <c r="J848" s="18"/>
      <c r="K848" s="19"/>
      <c r="L848" s="17"/>
      <c r="M848" s="14"/>
      <c r="N848" s="17"/>
      <c r="O848" s="17"/>
    </row>
    <row r="849" spans="1:15">
      <c r="A849" s="14"/>
      <c r="B849" s="15"/>
      <c r="C849" s="16"/>
      <c r="D849" s="14"/>
      <c r="E849" s="17"/>
      <c r="F849" s="17"/>
      <c r="G849" s="17"/>
      <c r="H849" s="17"/>
      <c r="I849" s="17"/>
      <c r="J849" s="18"/>
      <c r="K849" s="19"/>
      <c r="L849" s="17"/>
      <c r="M849" s="14"/>
      <c r="N849" s="17"/>
      <c r="O849" s="17"/>
    </row>
    <row r="850" spans="1:15">
      <c r="A850" s="14"/>
      <c r="B850" s="15"/>
      <c r="C850" s="16"/>
      <c r="D850" s="14"/>
      <c r="E850" s="17"/>
      <c r="F850" s="17"/>
      <c r="G850" s="17"/>
      <c r="H850" s="17"/>
      <c r="I850" s="17"/>
      <c r="J850" s="18"/>
      <c r="K850" s="19"/>
      <c r="L850" s="17"/>
      <c r="M850" s="14"/>
      <c r="N850" s="17"/>
      <c r="O850" s="17"/>
    </row>
    <row r="851" spans="1:15">
      <c r="A851" s="14"/>
      <c r="B851" s="15"/>
      <c r="C851" s="16"/>
      <c r="D851" s="14"/>
      <c r="E851" s="17"/>
      <c r="F851" s="17"/>
      <c r="G851" s="17"/>
      <c r="H851" s="17"/>
      <c r="I851" s="17"/>
      <c r="J851" s="18"/>
      <c r="K851" s="19"/>
      <c r="L851" s="17"/>
      <c r="M851" s="14"/>
      <c r="N851" s="17"/>
      <c r="O851" s="17"/>
    </row>
    <row r="852" spans="1:15">
      <c r="A852" s="14"/>
      <c r="B852" s="15"/>
      <c r="C852" s="16"/>
      <c r="D852" s="14"/>
      <c r="E852" s="17"/>
      <c r="F852" s="17"/>
      <c r="G852" s="17"/>
      <c r="H852" s="17"/>
      <c r="I852" s="17"/>
      <c r="J852" s="18"/>
      <c r="K852" s="19"/>
      <c r="L852" s="17"/>
      <c r="M852" s="14"/>
      <c r="N852" s="17"/>
      <c r="O852" s="17"/>
    </row>
    <row r="853" spans="1:15">
      <c r="A853" s="14"/>
      <c r="B853" s="15"/>
      <c r="C853" s="16"/>
      <c r="D853" s="14"/>
      <c r="E853" s="17"/>
      <c r="F853" s="17"/>
      <c r="G853" s="17"/>
      <c r="H853" s="17"/>
      <c r="I853" s="17"/>
      <c r="J853" s="18"/>
      <c r="K853" s="19"/>
      <c r="L853" s="17"/>
      <c r="M853" s="14"/>
      <c r="N853" s="17"/>
      <c r="O853" s="17"/>
    </row>
    <row r="854" spans="1:15">
      <c r="A854" s="14"/>
      <c r="B854" s="15"/>
      <c r="C854" s="16"/>
      <c r="D854" s="14"/>
      <c r="E854" s="17"/>
      <c r="F854" s="17"/>
      <c r="G854" s="17"/>
      <c r="H854" s="17"/>
      <c r="I854" s="17"/>
      <c r="J854" s="18"/>
      <c r="K854" s="19"/>
      <c r="L854" s="17"/>
      <c r="M854" s="14"/>
      <c r="N854" s="17"/>
      <c r="O854" s="17"/>
    </row>
    <row r="855" spans="1:15">
      <c r="A855" s="14"/>
      <c r="B855" s="15"/>
      <c r="C855" s="16"/>
      <c r="D855" s="14"/>
      <c r="E855" s="17"/>
      <c r="F855" s="17"/>
      <c r="G855" s="17"/>
      <c r="H855" s="17"/>
      <c r="I855" s="17"/>
      <c r="J855" s="18"/>
      <c r="K855" s="19"/>
      <c r="L855" s="17"/>
      <c r="M855" s="14"/>
      <c r="N855" s="17"/>
      <c r="O855" s="17"/>
    </row>
    <row r="856" spans="1:15">
      <c r="A856" s="14"/>
      <c r="B856" s="15"/>
      <c r="C856" s="16"/>
      <c r="D856" s="14"/>
      <c r="E856" s="17"/>
      <c r="F856" s="17"/>
      <c r="G856" s="17"/>
      <c r="H856" s="17"/>
      <c r="I856" s="17"/>
      <c r="J856" s="18"/>
      <c r="K856" s="19"/>
      <c r="L856" s="17"/>
      <c r="M856" s="14"/>
      <c r="N856" s="17"/>
      <c r="O856" s="17"/>
    </row>
    <row r="857" spans="1:15">
      <c r="A857" s="14"/>
      <c r="B857" s="15"/>
      <c r="C857" s="16"/>
      <c r="D857" s="14"/>
      <c r="E857" s="17"/>
      <c r="F857" s="17"/>
      <c r="G857" s="17"/>
      <c r="H857" s="17"/>
      <c r="I857" s="17"/>
      <c r="J857" s="18"/>
      <c r="K857" s="19"/>
      <c r="L857" s="17"/>
      <c r="M857" s="14"/>
      <c r="N857" s="17"/>
      <c r="O857" s="17"/>
    </row>
    <row r="858" spans="1:15">
      <c r="A858" s="14"/>
      <c r="B858" s="15"/>
      <c r="C858" s="16"/>
      <c r="D858" s="14"/>
      <c r="E858" s="17"/>
      <c r="F858" s="17"/>
      <c r="G858" s="17"/>
      <c r="H858" s="17"/>
      <c r="I858" s="17"/>
      <c r="J858" s="18"/>
      <c r="K858" s="19"/>
      <c r="L858" s="17"/>
      <c r="M858" s="14"/>
      <c r="N858" s="17"/>
      <c r="O858" s="17"/>
    </row>
    <row r="859" spans="1:15">
      <c r="A859" s="14"/>
      <c r="B859" s="15"/>
      <c r="C859" s="16"/>
      <c r="D859" s="14"/>
      <c r="E859" s="17"/>
      <c r="F859" s="17"/>
      <c r="G859" s="17"/>
      <c r="H859" s="17"/>
      <c r="I859" s="17"/>
      <c r="J859" s="18"/>
      <c r="K859" s="19"/>
      <c r="L859" s="17"/>
      <c r="M859" s="14"/>
      <c r="N859" s="17"/>
      <c r="O859" s="17"/>
    </row>
    <row r="860" spans="1:15">
      <c r="A860" s="14"/>
      <c r="B860" s="15"/>
      <c r="C860" s="16"/>
      <c r="D860" s="14"/>
      <c r="E860" s="17"/>
      <c r="F860" s="17"/>
      <c r="G860" s="17"/>
      <c r="H860" s="17"/>
      <c r="I860" s="17"/>
      <c r="J860" s="18"/>
      <c r="K860" s="19"/>
      <c r="L860" s="17"/>
      <c r="M860" s="14"/>
      <c r="N860" s="17"/>
      <c r="O860" s="17"/>
    </row>
    <row r="861" spans="1:15">
      <c r="A861" s="14"/>
      <c r="B861" s="15"/>
      <c r="C861" s="16"/>
      <c r="D861" s="14"/>
      <c r="E861" s="17"/>
      <c r="F861" s="17"/>
      <c r="G861" s="17"/>
      <c r="H861" s="17"/>
      <c r="I861" s="17"/>
      <c r="J861" s="18"/>
      <c r="K861" s="19"/>
      <c r="L861" s="17"/>
      <c r="M861" s="14"/>
      <c r="N861" s="17"/>
      <c r="O861" s="17"/>
    </row>
    <row r="862" spans="1:15">
      <c r="A862" s="14"/>
      <c r="B862" s="15"/>
      <c r="C862" s="16"/>
      <c r="D862" s="14"/>
      <c r="E862" s="17"/>
      <c r="F862" s="17"/>
      <c r="G862" s="17"/>
      <c r="H862" s="17"/>
      <c r="I862" s="17"/>
      <c r="J862" s="18"/>
      <c r="K862" s="19"/>
      <c r="L862" s="17"/>
      <c r="M862" s="14"/>
      <c r="N862" s="17"/>
      <c r="O862" s="17"/>
    </row>
    <row r="863" spans="1:15">
      <c r="A863" s="14"/>
      <c r="B863" s="15"/>
      <c r="C863" s="16"/>
      <c r="D863" s="14"/>
      <c r="E863" s="17"/>
      <c r="F863" s="17"/>
      <c r="G863" s="17"/>
      <c r="H863" s="17"/>
      <c r="I863" s="17"/>
      <c r="J863" s="18"/>
      <c r="K863" s="19"/>
      <c r="L863" s="17"/>
      <c r="M863" s="14"/>
      <c r="N863" s="17"/>
      <c r="O863" s="17"/>
    </row>
    <row r="864" spans="1:15">
      <c r="A864" s="14"/>
      <c r="B864" s="15"/>
      <c r="C864" s="16"/>
      <c r="D864" s="14"/>
      <c r="E864" s="17"/>
      <c r="F864" s="17"/>
      <c r="G864" s="17"/>
      <c r="H864" s="17"/>
      <c r="I864" s="17"/>
      <c r="J864" s="18"/>
      <c r="K864" s="19"/>
      <c r="L864" s="17"/>
      <c r="M864" s="14"/>
      <c r="N864" s="17"/>
      <c r="O864" s="17"/>
    </row>
    <row r="865" spans="1:15">
      <c r="A865" s="14"/>
      <c r="B865" s="15"/>
      <c r="C865" s="16"/>
      <c r="D865" s="14"/>
      <c r="E865" s="17"/>
      <c r="F865" s="17"/>
      <c r="G865" s="17"/>
      <c r="H865" s="17"/>
      <c r="I865" s="17"/>
      <c r="J865" s="18"/>
      <c r="K865" s="19"/>
      <c r="L865" s="17"/>
      <c r="M865" s="14"/>
      <c r="N865" s="17"/>
      <c r="O865" s="17"/>
    </row>
    <row r="866" spans="1:15">
      <c r="A866" s="14"/>
      <c r="B866" s="15"/>
      <c r="C866" s="16"/>
      <c r="D866" s="14"/>
      <c r="E866" s="17"/>
      <c r="F866" s="17"/>
      <c r="G866" s="17"/>
      <c r="H866" s="17"/>
      <c r="I866" s="17"/>
      <c r="J866" s="18"/>
      <c r="K866" s="19"/>
      <c r="L866" s="17"/>
      <c r="M866" s="14"/>
      <c r="N866" s="17"/>
      <c r="O866" s="17"/>
    </row>
    <row r="867" spans="1:15">
      <c r="A867" s="14"/>
      <c r="B867" s="15"/>
      <c r="C867" s="16"/>
      <c r="D867" s="14"/>
      <c r="E867" s="17"/>
      <c r="F867" s="17"/>
      <c r="G867" s="17"/>
      <c r="H867" s="17"/>
      <c r="I867" s="17"/>
      <c r="J867" s="18"/>
      <c r="K867" s="19"/>
      <c r="L867" s="17"/>
      <c r="M867" s="14"/>
      <c r="N867" s="17"/>
      <c r="O867" s="17"/>
    </row>
    <row r="868" spans="1:15">
      <c r="A868" s="14"/>
      <c r="B868" s="15"/>
      <c r="C868" s="16"/>
      <c r="D868" s="14"/>
      <c r="E868" s="17"/>
      <c r="F868" s="17"/>
      <c r="G868" s="17"/>
      <c r="H868" s="17"/>
      <c r="I868" s="17"/>
      <c r="J868" s="18"/>
      <c r="K868" s="19"/>
      <c r="L868" s="17"/>
      <c r="M868" s="14"/>
      <c r="N868" s="17"/>
      <c r="O868" s="17"/>
    </row>
    <row r="869" spans="1:15">
      <c r="A869" s="14"/>
      <c r="B869" s="15"/>
      <c r="C869" s="16"/>
      <c r="D869" s="14"/>
      <c r="E869" s="17"/>
      <c r="F869" s="17"/>
      <c r="G869" s="17"/>
      <c r="H869" s="17"/>
      <c r="I869" s="17"/>
      <c r="J869" s="18"/>
      <c r="K869" s="19"/>
      <c r="L869" s="17"/>
      <c r="M869" s="14"/>
      <c r="N869" s="17"/>
      <c r="O869" s="17"/>
    </row>
    <row r="870" spans="1:15">
      <c r="A870" s="14"/>
      <c r="B870" s="15"/>
      <c r="C870" s="16"/>
      <c r="D870" s="14"/>
      <c r="E870" s="17"/>
      <c r="F870" s="17"/>
      <c r="G870" s="17"/>
      <c r="H870" s="17"/>
      <c r="I870" s="17"/>
      <c r="J870" s="18"/>
      <c r="K870" s="19"/>
      <c r="L870" s="17"/>
      <c r="M870" s="14"/>
      <c r="N870" s="17"/>
      <c r="O870" s="17"/>
    </row>
    <row r="871" spans="1:15">
      <c r="A871" s="14"/>
      <c r="B871" s="15"/>
      <c r="C871" s="16"/>
      <c r="D871" s="14"/>
      <c r="E871" s="17"/>
      <c r="F871" s="17"/>
      <c r="G871" s="17"/>
      <c r="H871" s="17"/>
      <c r="I871" s="17"/>
      <c r="J871" s="18"/>
      <c r="K871" s="19"/>
      <c r="L871" s="17"/>
      <c r="M871" s="14"/>
      <c r="N871" s="17"/>
      <c r="O871" s="17"/>
    </row>
    <row r="872" spans="1:15">
      <c r="A872" s="14"/>
      <c r="B872" s="15"/>
      <c r="C872" s="16"/>
      <c r="D872" s="14"/>
      <c r="E872" s="17"/>
      <c r="F872" s="17"/>
      <c r="G872" s="17"/>
      <c r="H872" s="17"/>
      <c r="I872" s="17"/>
      <c r="J872" s="18"/>
      <c r="K872" s="19"/>
      <c r="L872" s="17"/>
      <c r="M872" s="14"/>
      <c r="N872" s="17"/>
      <c r="O872" s="17"/>
    </row>
    <row r="873" spans="1:15">
      <c r="A873" s="14"/>
      <c r="B873" s="15"/>
      <c r="C873" s="16"/>
      <c r="D873" s="14"/>
      <c r="E873" s="17"/>
      <c r="F873" s="17"/>
      <c r="G873" s="17"/>
      <c r="H873" s="17"/>
      <c r="I873" s="17"/>
      <c r="J873" s="18"/>
      <c r="K873" s="19"/>
      <c r="L873" s="17"/>
      <c r="M873" s="14"/>
      <c r="N873" s="17"/>
      <c r="O873" s="17"/>
    </row>
    <row r="874" spans="1:15">
      <c r="A874" s="14"/>
      <c r="B874" s="15"/>
      <c r="C874" s="16"/>
      <c r="D874" s="14"/>
      <c r="E874" s="17"/>
      <c r="F874" s="17"/>
      <c r="G874" s="17"/>
      <c r="H874" s="17"/>
      <c r="I874" s="17"/>
      <c r="J874" s="18"/>
      <c r="K874" s="19"/>
      <c r="L874" s="17"/>
      <c r="M874" s="14"/>
      <c r="N874" s="17"/>
      <c r="O874" s="17"/>
    </row>
    <row r="875" spans="1:15">
      <c r="A875" s="14"/>
      <c r="B875" s="15"/>
      <c r="C875" s="16"/>
      <c r="D875" s="14"/>
      <c r="E875" s="17"/>
      <c r="F875" s="17"/>
      <c r="G875" s="17"/>
      <c r="H875" s="17"/>
      <c r="I875" s="17"/>
      <c r="J875" s="18"/>
      <c r="K875" s="19"/>
      <c r="L875" s="17"/>
      <c r="M875" s="14"/>
      <c r="N875" s="17"/>
      <c r="O875" s="17"/>
    </row>
    <row r="876" spans="1:15">
      <c r="A876" s="14"/>
      <c r="B876" s="15"/>
      <c r="C876" s="16"/>
      <c r="D876" s="14"/>
      <c r="E876" s="17"/>
      <c r="F876" s="17"/>
      <c r="G876" s="17"/>
      <c r="H876" s="17"/>
      <c r="I876" s="17"/>
      <c r="J876" s="18"/>
      <c r="K876" s="19"/>
      <c r="L876" s="17"/>
      <c r="M876" s="14"/>
      <c r="N876" s="17"/>
      <c r="O876" s="17"/>
    </row>
    <row r="877" spans="1:15">
      <c r="A877" s="14"/>
      <c r="B877" s="15"/>
      <c r="C877" s="16"/>
      <c r="D877" s="14"/>
      <c r="E877" s="17"/>
      <c r="F877" s="17"/>
      <c r="G877" s="17"/>
      <c r="H877" s="17"/>
      <c r="I877" s="17"/>
      <c r="J877" s="18"/>
      <c r="K877" s="19"/>
      <c r="L877" s="17"/>
      <c r="M877" s="14"/>
      <c r="N877" s="17"/>
      <c r="O877" s="17"/>
    </row>
    <row r="878" spans="1:15">
      <c r="A878" s="14"/>
      <c r="B878" s="15"/>
      <c r="C878" s="16"/>
      <c r="D878" s="14"/>
      <c r="E878" s="17"/>
      <c r="F878" s="17"/>
      <c r="G878" s="17"/>
      <c r="H878" s="17"/>
      <c r="I878" s="17"/>
      <c r="J878" s="18"/>
      <c r="K878" s="19"/>
      <c r="L878" s="17"/>
      <c r="M878" s="14"/>
      <c r="N878" s="17"/>
      <c r="O878" s="17"/>
    </row>
    <row r="879" spans="1:15">
      <c r="A879" s="14"/>
      <c r="B879" s="15"/>
      <c r="C879" s="16"/>
      <c r="D879" s="14"/>
      <c r="E879" s="17"/>
      <c r="F879" s="17"/>
      <c r="G879" s="17"/>
      <c r="H879" s="17"/>
      <c r="I879" s="17"/>
      <c r="J879" s="18"/>
      <c r="K879" s="19"/>
      <c r="L879" s="17"/>
      <c r="M879" s="14"/>
      <c r="N879" s="17"/>
      <c r="O879" s="17"/>
    </row>
    <row r="880" spans="1:15">
      <c r="A880" s="14"/>
      <c r="B880" s="15"/>
      <c r="C880" s="16"/>
      <c r="D880" s="14"/>
      <c r="E880" s="17"/>
      <c r="F880" s="17"/>
      <c r="G880" s="17"/>
      <c r="H880" s="17"/>
      <c r="I880" s="17"/>
      <c r="J880" s="18"/>
      <c r="K880" s="19"/>
      <c r="L880" s="17"/>
      <c r="M880" s="14"/>
      <c r="N880" s="17"/>
      <c r="O880" s="17"/>
    </row>
    <row r="881" spans="1:15">
      <c r="A881" s="14"/>
      <c r="B881" s="15"/>
      <c r="C881" s="16"/>
      <c r="D881" s="14"/>
      <c r="E881" s="17"/>
      <c r="F881" s="17"/>
      <c r="G881" s="17"/>
      <c r="H881" s="17"/>
      <c r="I881" s="17"/>
      <c r="J881" s="18"/>
      <c r="K881" s="19"/>
      <c r="L881" s="17"/>
      <c r="M881" s="14"/>
      <c r="N881" s="17"/>
      <c r="O881" s="17"/>
    </row>
    <row r="882" spans="1:15">
      <c r="A882" s="14"/>
      <c r="B882" s="15"/>
      <c r="C882" s="16"/>
      <c r="D882" s="14"/>
      <c r="E882" s="17"/>
      <c r="F882" s="17"/>
      <c r="G882" s="17"/>
      <c r="H882" s="17"/>
      <c r="I882" s="17"/>
      <c r="J882" s="18"/>
      <c r="K882" s="19"/>
      <c r="L882" s="17"/>
      <c r="M882" s="14"/>
      <c r="N882" s="17"/>
      <c r="O882" s="17"/>
    </row>
    <row r="883" spans="1:15">
      <c r="A883" s="14"/>
      <c r="B883" s="15"/>
      <c r="C883" s="16"/>
      <c r="D883" s="14"/>
      <c r="E883" s="17"/>
      <c r="F883" s="17"/>
      <c r="G883" s="17"/>
      <c r="H883" s="17"/>
      <c r="I883" s="17"/>
      <c r="J883" s="18"/>
      <c r="K883" s="19"/>
      <c r="L883" s="17"/>
      <c r="M883" s="14"/>
      <c r="N883" s="17"/>
      <c r="O883" s="17"/>
    </row>
    <row r="884" spans="1:15">
      <c r="A884" s="14"/>
      <c r="B884" s="15"/>
      <c r="C884" s="16"/>
      <c r="D884" s="14"/>
      <c r="E884" s="17"/>
      <c r="F884" s="17"/>
      <c r="G884" s="17"/>
      <c r="H884" s="17"/>
      <c r="I884" s="17"/>
      <c r="J884" s="18"/>
      <c r="K884" s="19"/>
      <c r="L884" s="17"/>
      <c r="M884" s="14"/>
      <c r="N884" s="17"/>
      <c r="O884" s="17"/>
    </row>
    <row r="885" spans="1:15">
      <c r="A885" s="14"/>
      <c r="B885" s="15"/>
      <c r="C885" s="16"/>
      <c r="D885" s="14"/>
      <c r="E885" s="17"/>
      <c r="F885" s="17"/>
      <c r="G885" s="17"/>
      <c r="H885" s="17"/>
      <c r="I885" s="17"/>
      <c r="J885" s="18"/>
      <c r="K885" s="19"/>
      <c r="L885" s="17"/>
      <c r="M885" s="14"/>
      <c r="N885" s="17"/>
      <c r="O885" s="17"/>
    </row>
    <row r="886" spans="1:15">
      <c r="A886" s="14"/>
      <c r="B886" s="15"/>
      <c r="C886" s="16"/>
      <c r="D886" s="14"/>
      <c r="E886" s="17"/>
      <c r="F886" s="17"/>
      <c r="G886" s="17"/>
      <c r="H886" s="17"/>
      <c r="I886" s="17"/>
      <c r="J886" s="18"/>
      <c r="K886" s="19"/>
      <c r="L886" s="17"/>
      <c r="M886" s="14"/>
      <c r="N886" s="17"/>
      <c r="O886" s="17"/>
    </row>
    <row r="887" spans="1:15">
      <c r="A887" s="14"/>
      <c r="B887" s="15"/>
      <c r="C887" s="16"/>
      <c r="D887" s="14"/>
      <c r="E887" s="17"/>
      <c r="F887" s="17"/>
      <c r="G887" s="17"/>
      <c r="H887" s="17"/>
      <c r="I887" s="17"/>
      <c r="J887" s="18"/>
      <c r="K887" s="19"/>
      <c r="L887" s="17"/>
      <c r="M887" s="14"/>
      <c r="N887" s="17"/>
      <c r="O887" s="17"/>
    </row>
    <row r="888" spans="1:15">
      <c r="A888" s="14"/>
      <c r="B888" s="15"/>
      <c r="C888" s="16"/>
      <c r="D888" s="14"/>
      <c r="E888" s="17"/>
      <c r="F888" s="17"/>
      <c r="G888" s="17"/>
      <c r="H888" s="17"/>
      <c r="I888" s="17"/>
      <c r="J888" s="18"/>
      <c r="K888" s="19"/>
      <c r="L888" s="17"/>
      <c r="M888" s="14"/>
      <c r="N888" s="17"/>
      <c r="O888" s="17"/>
    </row>
    <row r="889" spans="1:15">
      <c r="A889" s="14"/>
      <c r="B889" s="15"/>
      <c r="C889" s="16"/>
      <c r="D889" s="14"/>
      <c r="E889" s="17"/>
      <c r="F889" s="17"/>
      <c r="G889" s="17"/>
      <c r="H889" s="17"/>
      <c r="I889" s="17"/>
      <c r="J889" s="18"/>
      <c r="K889" s="19"/>
      <c r="L889" s="17"/>
      <c r="M889" s="14"/>
      <c r="N889" s="17"/>
      <c r="O889" s="17"/>
    </row>
    <row r="890" spans="1:15">
      <c r="A890" s="14"/>
      <c r="B890" s="15"/>
      <c r="C890" s="16"/>
      <c r="D890" s="14"/>
      <c r="E890" s="17"/>
      <c r="F890" s="17"/>
      <c r="G890" s="17"/>
      <c r="H890" s="17"/>
      <c r="I890" s="17"/>
      <c r="J890" s="18"/>
      <c r="K890" s="19"/>
      <c r="L890" s="17"/>
      <c r="M890" s="14"/>
      <c r="N890" s="17"/>
      <c r="O890" s="17"/>
    </row>
    <row r="891" spans="1:15">
      <c r="A891" s="14"/>
      <c r="B891" s="15"/>
      <c r="C891" s="16"/>
      <c r="D891" s="14"/>
      <c r="E891" s="17"/>
      <c r="F891" s="17"/>
      <c r="G891" s="17"/>
      <c r="H891" s="17"/>
      <c r="I891" s="17"/>
      <c r="J891" s="18"/>
      <c r="K891" s="19"/>
      <c r="L891" s="17"/>
      <c r="M891" s="14"/>
      <c r="N891" s="17"/>
      <c r="O891" s="17"/>
    </row>
    <row r="892" spans="1:15">
      <c r="A892" s="14"/>
      <c r="B892" s="15"/>
      <c r="C892" s="16"/>
      <c r="D892" s="14"/>
      <c r="E892" s="17"/>
      <c r="F892" s="17"/>
      <c r="G892" s="17"/>
      <c r="H892" s="17"/>
      <c r="I892" s="17"/>
      <c r="J892" s="18"/>
      <c r="K892" s="19"/>
      <c r="L892" s="17"/>
      <c r="M892" s="14"/>
      <c r="N892" s="17"/>
      <c r="O892" s="17"/>
    </row>
    <row r="893" spans="1:15">
      <c r="A893" s="14"/>
      <c r="B893" s="15"/>
      <c r="C893" s="16"/>
      <c r="D893" s="14"/>
      <c r="E893" s="17"/>
      <c r="F893" s="17"/>
      <c r="G893" s="17"/>
      <c r="H893" s="17"/>
      <c r="I893" s="17"/>
      <c r="J893" s="18"/>
      <c r="K893" s="19"/>
      <c r="L893" s="17"/>
      <c r="M893" s="14"/>
      <c r="N893" s="17"/>
      <c r="O893" s="17"/>
    </row>
    <row r="894" spans="1:15">
      <c r="A894" s="14"/>
      <c r="B894" s="15"/>
      <c r="C894" s="16"/>
      <c r="D894" s="14"/>
      <c r="E894" s="17"/>
      <c r="F894" s="17"/>
      <c r="G894" s="17"/>
      <c r="H894" s="17"/>
      <c r="I894" s="17"/>
      <c r="J894" s="18"/>
      <c r="K894" s="19"/>
      <c r="L894" s="17"/>
      <c r="M894" s="14"/>
      <c r="N894" s="17"/>
      <c r="O894" s="17"/>
    </row>
    <row r="895" spans="1:15">
      <c r="A895" s="14"/>
      <c r="B895" s="15"/>
      <c r="C895" s="16"/>
      <c r="D895" s="14"/>
      <c r="E895" s="17"/>
      <c r="F895" s="17"/>
      <c r="G895" s="17"/>
      <c r="H895" s="17"/>
      <c r="I895" s="17"/>
      <c r="J895" s="18"/>
      <c r="K895" s="19"/>
      <c r="L895" s="17"/>
      <c r="M895" s="14"/>
      <c r="N895" s="17"/>
      <c r="O895" s="17"/>
    </row>
    <row r="896" spans="1:15">
      <c r="A896" s="14"/>
      <c r="B896" s="15"/>
      <c r="C896" s="16"/>
      <c r="D896" s="14"/>
      <c r="E896" s="17"/>
      <c r="F896" s="17"/>
      <c r="G896" s="17"/>
      <c r="H896" s="17"/>
      <c r="I896" s="17"/>
      <c r="J896" s="18"/>
      <c r="K896" s="19"/>
      <c r="L896" s="17"/>
      <c r="M896" s="14"/>
      <c r="N896" s="17"/>
      <c r="O896" s="17"/>
    </row>
    <row r="897" spans="1:15">
      <c r="A897" s="14"/>
      <c r="B897" s="15"/>
      <c r="C897" s="16"/>
      <c r="D897" s="14"/>
      <c r="E897" s="17"/>
      <c r="F897" s="17"/>
      <c r="G897" s="17"/>
      <c r="H897" s="17"/>
      <c r="I897" s="17"/>
      <c r="J897" s="18"/>
      <c r="K897" s="19"/>
      <c r="L897" s="17"/>
      <c r="M897" s="14"/>
      <c r="N897" s="17"/>
      <c r="O897" s="17"/>
    </row>
    <row r="898" spans="1:15">
      <c r="A898" s="14"/>
      <c r="B898" s="15"/>
      <c r="C898" s="16"/>
      <c r="D898" s="14"/>
      <c r="E898" s="17"/>
      <c r="F898" s="17"/>
      <c r="G898" s="17"/>
      <c r="H898" s="17"/>
      <c r="I898" s="17"/>
      <c r="J898" s="18"/>
      <c r="K898" s="19"/>
      <c r="L898" s="17"/>
      <c r="M898" s="14"/>
      <c r="N898" s="17"/>
      <c r="O898" s="17"/>
    </row>
    <row r="899" spans="1:15">
      <c r="A899" s="14"/>
      <c r="B899" s="15"/>
      <c r="C899" s="16"/>
      <c r="D899" s="14"/>
      <c r="E899" s="17"/>
      <c r="F899" s="17"/>
      <c r="G899" s="17"/>
      <c r="H899" s="17"/>
      <c r="I899" s="17"/>
      <c r="J899" s="18"/>
      <c r="K899" s="19"/>
      <c r="L899" s="17"/>
      <c r="M899" s="14"/>
      <c r="N899" s="17"/>
      <c r="O899" s="17"/>
    </row>
    <row r="900" spans="1:15">
      <c r="A900" s="14"/>
      <c r="B900" s="15"/>
      <c r="C900" s="16"/>
      <c r="D900" s="14"/>
      <c r="E900" s="17"/>
      <c r="F900" s="17"/>
      <c r="G900" s="17"/>
      <c r="H900" s="17"/>
      <c r="I900" s="17"/>
      <c r="J900" s="18"/>
      <c r="K900" s="19"/>
      <c r="L900" s="17"/>
      <c r="M900" s="14"/>
      <c r="N900" s="17"/>
      <c r="O900" s="17"/>
    </row>
    <row r="901" spans="1:15">
      <c r="A901" s="14"/>
      <c r="B901" s="15"/>
      <c r="C901" s="16"/>
      <c r="D901" s="14"/>
      <c r="E901" s="17"/>
      <c r="F901" s="17"/>
      <c r="G901" s="17"/>
      <c r="H901" s="17"/>
      <c r="I901" s="17"/>
      <c r="J901" s="18"/>
      <c r="K901" s="19"/>
      <c r="L901" s="17"/>
      <c r="M901" s="14"/>
      <c r="N901" s="17"/>
      <c r="O901" s="17"/>
    </row>
    <row r="902" spans="1:15">
      <c r="A902" s="14"/>
      <c r="B902" s="15"/>
      <c r="C902" s="16"/>
      <c r="D902" s="14"/>
      <c r="E902" s="17"/>
      <c r="F902" s="17"/>
      <c r="G902" s="17"/>
      <c r="H902" s="17"/>
      <c r="I902" s="17"/>
      <c r="J902" s="18"/>
      <c r="K902" s="19"/>
      <c r="L902" s="17"/>
      <c r="M902" s="14"/>
      <c r="N902" s="17"/>
      <c r="O902" s="17"/>
    </row>
    <row r="903" spans="1:15">
      <c r="A903" s="14"/>
      <c r="B903" s="15"/>
      <c r="C903" s="16"/>
      <c r="D903" s="14"/>
      <c r="E903" s="17"/>
      <c r="F903" s="17"/>
      <c r="G903" s="17"/>
      <c r="H903" s="17"/>
      <c r="I903" s="17"/>
      <c r="J903" s="18"/>
      <c r="K903" s="19"/>
      <c r="L903" s="17"/>
      <c r="M903" s="14"/>
      <c r="N903" s="17"/>
      <c r="O903" s="17"/>
    </row>
    <row r="904" spans="1:15">
      <c r="A904" s="14"/>
      <c r="B904" s="15"/>
      <c r="C904" s="16"/>
      <c r="D904" s="14"/>
      <c r="E904" s="17"/>
      <c r="F904" s="17"/>
      <c r="G904" s="17"/>
      <c r="H904" s="17"/>
      <c r="I904" s="17"/>
      <c r="J904" s="18"/>
      <c r="K904" s="19"/>
      <c r="L904" s="17"/>
      <c r="M904" s="14"/>
      <c r="N904" s="17"/>
      <c r="O904" s="17"/>
    </row>
    <row r="905" spans="1:15">
      <c r="A905" s="14"/>
      <c r="B905" s="15"/>
      <c r="C905" s="16"/>
      <c r="D905" s="14"/>
      <c r="E905" s="17"/>
      <c r="F905" s="17"/>
      <c r="G905" s="17"/>
      <c r="H905" s="17"/>
      <c r="I905" s="17"/>
      <c r="J905" s="18"/>
      <c r="K905" s="19"/>
      <c r="L905" s="17"/>
      <c r="M905" s="14"/>
      <c r="N905" s="17"/>
      <c r="O905" s="17"/>
    </row>
    <row r="906" spans="1:15">
      <c r="A906" s="14"/>
      <c r="B906" s="15"/>
      <c r="C906" s="16"/>
      <c r="D906" s="14"/>
      <c r="E906" s="17"/>
      <c r="F906" s="17"/>
      <c r="G906" s="17"/>
      <c r="H906" s="17"/>
      <c r="I906" s="17"/>
      <c r="J906" s="18"/>
      <c r="K906" s="19"/>
      <c r="L906" s="17"/>
      <c r="M906" s="14"/>
      <c r="N906" s="17"/>
      <c r="O906" s="17"/>
    </row>
    <row r="907" spans="1:15">
      <c r="A907" s="14"/>
      <c r="B907" s="15"/>
      <c r="C907" s="16"/>
      <c r="D907" s="14"/>
      <c r="E907" s="17"/>
      <c r="F907" s="17"/>
      <c r="G907" s="17"/>
      <c r="H907" s="17"/>
      <c r="I907" s="17"/>
      <c r="J907" s="18"/>
      <c r="K907" s="19"/>
      <c r="L907" s="17"/>
      <c r="M907" s="14"/>
      <c r="N907" s="17"/>
      <c r="O907" s="17"/>
    </row>
    <row r="908" spans="1:15">
      <c r="A908" s="14"/>
      <c r="B908" s="15"/>
      <c r="C908" s="16"/>
      <c r="D908" s="14"/>
      <c r="E908" s="17"/>
      <c r="F908" s="17"/>
      <c r="G908" s="17"/>
      <c r="H908" s="17"/>
      <c r="I908" s="17"/>
      <c r="J908" s="18"/>
      <c r="K908" s="19"/>
      <c r="L908" s="17"/>
      <c r="M908" s="14"/>
      <c r="N908" s="17"/>
      <c r="O908" s="17"/>
    </row>
    <row r="909" spans="1:15">
      <c r="A909" s="14"/>
      <c r="B909" s="15"/>
      <c r="C909" s="16"/>
      <c r="D909" s="14"/>
      <c r="E909" s="17"/>
      <c r="F909" s="17"/>
      <c r="G909" s="17"/>
      <c r="H909" s="17"/>
      <c r="I909" s="17"/>
      <c r="J909" s="18"/>
      <c r="K909" s="19"/>
      <c r="L909" s="17"/>
      <c r="M909" s="14"/>
      <c r="N909" s="17"/>
      <c r="O909" s="17"/>
    </row>
    <row r="910" spans="1:15">
      <c r="A910" s="14"/>
      <c r="B910" s="15"/>
      <c r="C910" s="16"/>
      <c r="D910" s="14"/>
      <c r="E910" s="17"/>
      <c r="F910" s="17"/>
      <c r="G910" s="17"/>
      <c r="H910" s="17"/>
      <c r="I910" s="17"/>
      <c r="J910" s="18"/>
      <c r="K910" s="19"/>
      <c r="L910" s="17"/>
      <c r="M910" s="14"/>
      <c r="N910" s="17"/>
      <c r="O910" s="17"/>
    </row>
    <row r="911" spans="1:15">
      <c r="A911" s="14"/>
      <c r="B911" s="15"/>
      <c r="C911" s="16"/>
      <c r="D911" s="14"/>
      <c r="E911" s="17"/>
      <c r="F911" s="17"/>
      <c r="G911" s="17"/>
      <c r="H911" s="17"/>
      <c r="I911" s="17"/>
      <c r="J911" s="18"/>
      <c r="K911" s="19"/>
      <c r="L911" s="17"/>
      <c r="M911" s="14"/>
      <c r="N911" s="17"/>
      <c r="O911" s="17"/>
    </row>
    <row r="912" spans="1:15">
      <c r="A912" s="14"/>
      <c r="B912" s="15"/>
      <c r="C912" s="16"/>
      <c r="D912" s="14"/>
      <c r="E912" s="17"/>
      <c r="F912" s="17"/>
      <c r="G912" s="17"/>
      <c r="H912" s="17"/>
      <c r="I912" s="17"/>
      <c r="J912" s="18"/>
      <c r="K912" s="19"/>
      <c r="L912" s="17"/>
      <c r="M912" s="14"/>
      <c r="N912" s="17"/>
      <c r="O912" s="17"/>
    </row>
    <row r="913" spans="1:15">
      <c r="A913" s="14"/>
      <c r="B913" s="15"/>
      <c r="C913" s="16"/>
      <c r="D913" s="14"/>
      <c r="E913" s="17"/>
      <c r="F913" s="17"/>
      <c r="G913" s="17"/>
      <c r="H913" s="17"/>
      <c r="I913" s="17"/>
      <c r="J913" s="18"/>
      <c r="K913" s="19"/>
      <c r="L913" s="17"/>
      <c r="M913" s="14"/>
      <c r="N913" s="17"/>
      <c r="O913" s="17"/>
    </row>
    <row r="914" spans="1:15">
      <c r="A914" s="14"/>
      <c r="B914" s="15"/>
      <c r="C914" s="16"/>
      <c r="D914" s="14"/>
      <c r="E914" s="17"/>
      <c r="F914" s="17"/>
      <c r="G914" s="17"/>
      <c r="H914" s="17"/>
      <c r="I914" s="17"/>
      <c r="J914" s="18"/>
      <c r="K914" s="19"/>
      <c r="L914" s="17"/>
      <c r="M914" s="14"/>
      <c r="N914" s="17"/>
      <c r="O914" s="17"/>
    </row>
    <row r="915" spans="1:15">
      <c r="A915" s="14"/>
      <c r="B915" s="15"/>
      <c r="C915" s="16"/>
      <c r="D915" s="14"/>
      <c r="E915" s="17"/>
      <c r="F915" s="17"/>
      <c r="G915" s="17"/>
      <c r="H915" s="17"/>
      <c r="I915" s="17"/>
      <c r="J915" s="18"/>
      <c r="K915" s="19"/>
      <c r="L915" s="17"/>
      <c r="M915" s="14"/>
      <c r="N915" s="17"/>
      <c r="O915" s="17"/>
    </row>
    <row r="916" spans="1:15">
      <c r="A916" s="14"/>
      <c r="B916" s="15"/>
      <c r="C916" s="16"/>
      <c r="D916" s="14"/>
      <c r="E916" s="17"/>
      <c r="F916" s="17"/>
      <c r="G916" s="17"/>
      <c r="H916" s="17"/>
      <c r="I916" s="17"/>
      <c r="J916" s="18"/>
      <c r="K916" s="19"/>
      <c r="L916" s="17"/>
      <c r="M916" s="14"/>
      <c r="N916" s="17"/>
      <c r="O916" s="17"/>
    </row>
    <row r="917" spans="1:15">
      <c r="A917" s="14"/>
      <c r="B917" s="15"/>
      <c r="C917" s="16"/>
      <c r="D917" s="14"/>
      <c r="E917" s="17"/>
      <c r="F917" s="17"/>
      <c r="G917" s="17"/>
      <c r="H917" s="17"/>
      <c r="I917" s="17"/>
      <c r="J917" s="18"/>
      <c r="K917" s="19"/>
      <c r="L917" s="17"/>
      <c r="M917" s="14"/>
      <c r="N917" s="17"/>
      <c r="O917" s="17"/>
    </row>
    <row r="918" spans="1:15">
      <c r="A918" s="14"/>
      <c r="B918" s="15"/>
      <c r="C918" s="16"/>
      <c r="D918" s="14"/>
      <c r="E918" s="17"/>
      <c r="F918" s="17"/>
      <c r="G918" s="17"/>
      <c r="H918" s="17"/>
      <c r="I918" s="17"/>
      <c r="J918" s="18"/>
      <c r="K918" s="19"/>
      <c r="L918" s="17"/>
      <c r="M918" s="14"/>
      <c r="N918" s="17"/>
      <c r="O918" s="17"/>
    </row>
    <row r="919" spans="1:15">
      <c r="A919" s="14"/>
      <c r="B919" s="15"/>
      <c r="C919" s="16"/>
      <c r="D919" s="14"/>
      <c r="E919" s="17"/>
      <c r="F919" s="17"/>
      <c r="G919" s="17"/>
      <c r="H919" s="17"/>
      <c r="I919" s="17"/>
      <c r="J919" s="18"/>
      <c r="K919" s="19"/>
      <c r="L919" s="17"/>
      <c r="M919" s="14"/>
      <c r="N919" s="17"/>
      <c r="O919" s="17"/>
    </row>
    <row r="920" spans="1:15">
      <c r="A920" s="14"/>
      <c r="B920" s="15"/>
      <c r="C920" s="16"/>
      <c r="D920" s="14"/>
      <c r="E920" s="17"/>
      <c r="F920" s="17"/>
      <c r="G920" s="17"/>
      <c r="H920" s="17"/>
      <c r="I920" s="17"/>
      <c r="J920" s="18"/>
      <c r="K920" s="19"/>
      <c r="L920" s="17"/>
      <c r="M920" s="14"/>
      <c r="N920" s="17"/>
      <c r="O920" s="17"/>
    </row>
    <row r="921" spans="1:15">
      <c r="A921" s="14"/>
      <c r="B921" s="15"/>
      <c r="C921" s="16"/>
      <c r="D921" s="14"/>
      <c r="E921" s="17"/>
      <c r="F921" s="17"/>
      <c r="G921" s="17"/>
      <c r="H921" s="17"/>
      <c r="I921" s="17"/>
      <c r="J921" s="18"/>
      <c r="K921" s="19"/>
      <c r="L921" s="17"/>
      <c r="M921" s="14"/>
      <c r="N921" s="17"/>
      <c r="O921" s="17"/>
    </row>
    <row r="922" spans="1:15">
      <c r="A922" s="14"/>
      <c r="B922" s="15"/>
      <c r="C922" s="16"/>
      <c r="D922" s="14"/>
      <c r="E922" s="17"/>
      <c r="F922" s="17"/>
      <c r="G922" s="17"/>
      <c r="H922" s="17"/>
      <c r="I922" s="17"/>
      <c r="J922" s="18"/>
      <c r="K922" s="19"/>
      <c r="L922" s="17"/>
      <c r="M922" s="14"/>
      <c r="N922" s="17"/>
      <c r="O922" s="17"/>
    </row>
    <row r="923" spans="1:15">
      <c r="A923" s="14"/>
      <c r="B923" s="15"/>
      <c r="C923" s="16"/>
      <c r="D923" s="14"/>
      <c r="E923" s="17"/>
      <c r="F923" s="17"/>
      <c r="G923" s="17"/>
      <c r="H923" s="17"/>
      <c r="I923" s="17"/>
      <c r="J923" s="18"/>
      <c r="K923" s="19"/>
      <c r="L923" s="17"/>
      <c r="M923" s="14"/>
      <c r="N923" s="17"/>
      <c r="O923" s="17"/>
    </row>
    <row r="924" spans="1:15">
      <c r="A924" s="14"/>
      <c r="B924" s="15"/>
      <c r="C924" s="16"/>
      <c r="D924" s="14"/>
      <c r="E924" s="17"/>
      <c r="F924" s="17"/>
      <c r="G924" s="17"/>
      <c r="H924" s="17"/>
      <c r="I924" s="17"/>
      <c r="J924" s="18"/>
      <c r="K924" s="19"/>
      <c r="L924" s="17"/>
      <c r="M924" s="14"/>
      <c r="N924" s="17"/>
      <c r="O924" s="17"/>
    </row>
    <row r="925" spans="1:15">
      <c r="A925" s="14"/>
      <c r="B925" s="15"/>
      <c r="C925" s="16"/>
      <c r="D925" s="14"/>
      <c r="E925" s="17"/>
      <c r="F925" s="17"/>
      <c r="G925" s="17"/>
      <c r="H925" s="17"/>
      <c r="I925" s="17"/>
      <c r="J925" s="18"/>
      <c r="K925" s="19"/>
      <c r="L925" s="17"/>
      <c r="M925" s="14"/>
      <c r="N925" s="17"/>
      <c r="O925" s="17"/>
    </row>
    <row r="926" spans="1:15">
      <c r="A926" s="14"/>
      <c r="B926" s="15"/>
      <c r="C926" s="16"/>
      <c r="D926" s="14"/>
      <c r="E926" s="17"/>
      <c r="F926" s="17"/>
      <c r="G926" s="17"/>
      <c r="H926" s="17"/>
      <c r="I926" s="17"/>
      <c r="J926" s="18"/>
      <c r="K926" s="19"/>
      <c r="L926" s="17"/>
      <c r="M926" s="14"/>
      <c r="N926" s="17"/>
      <c r="O926" s="17"/>
    </row>
    <row r="927" spans="1:15">
      <c r="A927" s="14"/>
      <c r="B927" s="15"/>
      <c r="C927" s="16"/>
      <c r="D927" s="14"/>
      <c r="E927" s="17"/>
      <c r="F927" s="17"/>
      <c r="G927" s="17"/>
      <c r="H927" s="17"/>
      <c r="I927" s="17"/>
      <c r="J927" s="18"/>
      <c r="K927" s="19"/>
      <c r="L927" s="17"/>
      <c r="M927" s="14"/>
      <c r="N927" s="17"/>
      <c r="O927" s="17"/>
    </row>
    <row r="928" spans="1:15">
      <c r="A928" s="14"/>
      <c r="B928" s="15"/>
      <c r="C928" s="16"/>
      <c r="D928" s="14"/>
      <c r="E928" s="17"/>
      <c r="F928" s="17"/>
      <c r="G928" s="17"/>
      <c r="H928" s="17"/>
      <c r="I928" s="17"/>
      <c r="J928" s="18"/>
      <c r="K928" s="19"/>
      <c r="L928" s="17"/>
      <c r="M928" s="14"/>
      <c r="N928" s="17"/>
      <c r="O928" s="17"/>
    </row>
    <row r="929" spans="1:15">
      <c r="A929" s="14"/>
      <c r="B929" s="15"/>
      <c r="C929" s="16"/>
      <c r="D929" s="14"/>
      <c r="E929" s="17"/>
      <c r="F929" s="17"/>
      <c r="G929" s="17"/>
      <c r="H929" s="17"/>
      <c r="I929" s="17"/>
      <c r="J929" s="18"/>
      <c r="K929" s="19"/>
      <c r="L929" s="17"/>
      <c r="M929" s="14"/>
      <c r="N929" s="17"/>
      <c r="O929" s="17"/>
    </row>
    <row r="930" spans="1:15">
      <c r="A930" s="14"/>
      <c r="B930" s="15"/>
      <c r="C930" s="16"/>
      <c r="D930" s="14"/>
      <c r="E930" s="17"/>
      <c r="F930" s="17"/>
      <c r="G930" s="17"/>
      <c r="H930" s="17"/>
      <c r="I930" s="17"/>
      <c r="J930" s="18"/>
      <c r="K930" s="19"/>
      <c r="L930" s="17"/>
      <c r="M930" s="14"/>
      <c r="N930" s="17"/>
      <c r="O930" s="17"/>
    </row>
    <row r="931" spans="1:15">
      <c r="A931" s="14"/>
      <c r="B931" s="15"/>
      <c r="C931" s="16"/>
      <c r="D931" s="14"/>
      <c r="E931" s="17"/>
      <c r="F931" s="17"/>
      <c r="G931" s="17"/>
      <c r="H931" s="17"/>
      <c r="I931" s="17"/>
      <c r="J931" s="18"/>
      <c r="K931" s="19"/>
      <c r="L931" s="17"/>
      <c r="M931" s="14"/>
      <c r="N931" s="17"/>
      <c r="O931" s="17"/>
    </row>
    <row r="932" spans="1:15">
      <c r="A932" s="14"/>
      <c r="B932" s="15"/>
      <c r="C932" s="16"/>
      <c r="D932" s="14"/>
      <c r="E932" s="17"/>
      <c r="F932" s="17"/>
      <c r="G932" s="17"/>
      <c r="H932" s="17"/>
      <c r="I932" s="17"/>
      <c r="J932" s="18"/>
      <c r="K932" s="19"/>
      <c r="L932" s="17"/>
      <c r="M932" s="14"/>
      <c r="N932" s="17"/>
      <c r="O932" s="17"/>
    </row>
    <row r="933" spans="1:15">
      <c r="A933" s="14"/>
      <c r="B933" s="15"/>
      <c r="C933" s="16"/>
      <c r="D933" s="14"/>
      <c r="E933" s="17"/>
      <c r="F933" s="17"/>
      <c r="G933" s="17"/>
      <c r="H933" s="17"/>
      <c r="I933" s="17"/>
      <c r="J933" s="18"/>
      <c r="K933" s="19"/>
      <c r="L933" s="17"/>
      <c r="M933" s="14"/>
      <c r="N933" s="17"/>
      <c r="O933" s="17"/>
    </row>
    <row r="934" spans="1:15">
      <c r="A934" s="14"/>
      <c r="B934" s="15"/>
      <c r="C934" s="16"/>
      <c r="D934" s="14"/>
      <c r="E934" s="17"/>
      <c r="F934" s="17"/>
      <c r="G934" s="17"/>
      <c r="H934" s="17"/>
      <c r="I934" s="17"/>
      <c r="J934" s="18"/>
      <c r="K934" s="19"/>
      <c r="L934" s="17"/>
      <c r="M934" s="14"/>
      <c r="N934" s="17"/>
      <c r="O934" s="17"/>
    </row>
    <row r="935" spans="1:15">
      <c r="A935" s="14"/>
      <c r="B935" s="15"/>
      <c r="C935" s="16"/>
      <c r="D935" s="14"/>
      <c r="E935" s="17"/>
      <c r="F935" s="17"/>
      <c r="G935" s="17"/>
      <c r="H935" s="17"/>
      <c r="I935" s="17"/>
      <c r="J935" s="18"/>
      <c r="K935" s="19"/>
      <c r="L935" s="17"/>
      <c r="M935" s="14"/>
      <c r="N935" s="17"/>
      <c r="O935" s="17"/>
    </row>
    <row r="936" spans="1:15">
      <c r="A936" s="14"/>
      <c r="B936" s="15"/>
      <c r="C936" s="16"/>
      <c r="D936" s="14"/>
      <c r="E936" s="17"/>
      <c r="F936" s="17"/>
      <c r="G936" s="17"/>
      <c r="H936" s="17"/>
      <c r="I936" s="17"/>
      <c r="J936" s="18"/>
      <c r="K936" s="19"/>
      <c r="L936" s="17"/>
      <c r="M936" s="14"/>
      <c r="N936" s="17"/>
      <c r="O936" s="17"/>
    </row>
    <row r="937" spans="1:15">
      <c r="A937" s="14"/>
      <c r="B937" s="15"/>
      <c r="C937" s="16"/>
      <c r="D937" s="14"/>
      <c r="E937" s="17"/>
      <c r="F937" s="17"/>
      <c r="G937" s="17"/>
      <c r="H937" s="17"/>
      <c r="I937" s="17"/>
      <c r="J937" s="18"/>
      <c r="K937" s="19"/>
      <c r="L937" s="17"/>
      <c r="M937" s="14"/>
      <c r="N937" s="17"/>
      <c r="O937" s="17"/>
    </row>
    <row r="938" spans="1:15">
      <c r="A938" s="14"/>
      <c r="B938" s="15"/>
      <c r="C938" s="16"/>
      <c r="D938" s="14"/>
      <c r="E938" s="17"/>
      <c r="F938" s="17"/>
      <c r="G938" s="17"/>
      <c r="H938" s="17"/>
      <c r="I938" s="17"/>
      <c r="J938" s="18"/>
      <c r="K938" s="19"/>
      <c r="L938" s="17"/>
      <c r="M938" s="14"/>
      <c r="N938" s="17"/>
      <c r="O938" s="17"/>
    </row>
    <row r="939" spans="1:15">
      <c r="A939" s="14"/>
      <c r="B939" s="15"/>
      <c r="C939" s="16"/>
      <c r="D939" s="14"/>
      <c r="E939" s="17"/>
      <c r="F939" s="17"/>
      <c r="G939" s="17"/>
      <c r="H939" s="17"/>
      <c r="I939" s="17"/>
      <c r="J939" s="18"/>
      <c r="K939" s="19"/>
      <c r="L939" s="17"/>
      <c r="M939" s="14"/>
      <c r="N939" s="17"/>
      <c r="O939" s="17"/>
    </row>
    <row r="940" spans="1:15">
      <c r="A940" s="14"/>
      <c r="B940" s="15"/>
      <c r="C940" s="16"/>
      <c r="D940" s="14"/>
      <c r="E940" s="17"/>
      <c r="F940" s="17"/>
      <c r="G940" s="17"/>
      <c r="H940" s="17"/>
      <c r="I940" s="17"/>
      <c r="J940" s="18"/>
      <c r="K940" s="19"/>
      <c r="L940" s="17"/>
      <c r="M940" s="14"/>
      <c r="N940" s="17"/>
      <c r="O940" s="17"/>
    </row>
    <row r="941" spans="1:15">
      <c r="A941" s="14"/>
      <c r="B941" s="15"/>
      <c r="C941" s="16"/>
      <c r="D941" s="14"/>
      <c r="E941" s="17"/>
      <c r="F941" s="17"/>
      <c r="G941" s="17"/>
      <c r="H941" s="17"/>
      <c r="I941" s="17"/>
      <c r="J941" s="18"/>
      <c r="K941" s="19"/>
      <c r="L941" s="17"/>
      <c r="M941" s="14"/>
      <c r="N941" s="17"/>
      <c r="O941" s="17"/>
    </row>
    <row r="942" spans="1:15">
      <c r="A942" s="14"/>
      <c r="B942" s="15"/>
      <c r="C942" s="16"/>
      <c r="D942" s="14"/>
      <c r="E942" s="17"/>
      <c r="F942" s="17"/>
      <c r="G942" s="17"/>
      <c r="H942" s="17"/>
      <c r="I942" s="17"/>
      <c r="J942" s="18"/>
      <c r="K942" s="19"/>
      <c r="L942" s="17"/>
      <c r="M942" s="14"/>
      <c r="N942" s="17"/>
      <c r="O942" s="17"/>
    </row>
    <row r="943" spans="1:15">
      <c r="A943" s="14"/>
      <c r="B943" s="15"/>
      <c r="C943" s="16"/>
      <c r="D943" s="14"/>
      <c r="E943" s="17"/>
      <c r="F943" s="17"/>
      <c r="G943" s="17"/>
      <c r="H943" s="17"/>
      <c r="I943" s="17"/>
      <c r="J943" s="18"/>
      <c r="K943" s="19"/>
      <c r="L943" s="17"/>
      <c r="M943" s="14"/>
      <c r="N943" s="17"/>
      <c r="O943" s="17"/>
    </row>
    <row r="944" spans="1:15">
      <c r="A944" s="14"/>
      <c r="B944" s="15"/>
      <c r="C944" s="16"/>
      <c r="D944" s="14"/>
      <c r="E944" s="17"/>
      <c r="F944" s="17"/>
      <c r="G944" s="17"/>
      <c r="H944" s="17"/>
      <c r="I944" s="17"/>
      <c r="J944" s="18"/>
      <c r="K944" s="19"/>
      <c r="L944" s="17"/>
      <c r="M944" s="14"/>
      <c r="N944" s="17"/>
      <c r="O944" s="17"/>
    </row>
    <row r="945" spans="1:15">
      <c r="A945" s="14"/>
      <c r="B945" s="15"/>
      <c r="C945" s="16"/>
      <c r="D945" s="14"/>
      <c r="E945" s="17"/>
      <c r="F945" s="17"/>
      <c r="G945" s="17"/>
      <c r="H945" s="17"/>
      <c r="I945" s="17"/>
      <c r="J945" s="18"/>
      <c r="K945" s="19"/>
      <c r="L945" s="17"/>
      <c r="M945" s="14"/>
      <c r="N945" s="17"/>
      <c r="O945" s="17"/>
    </row>
    <row r="946" spans="1:15">
      <c r="A946" s="14"/>
      <c r="B946" s="15"/>
      <c r="C946" s="16"/>
      <c r="D946" s="14"/>
      <c r="E946" s="17"/>
      <c r="F946" s="17"/>
      <c r="G946" s="17"/>
      <c r="H946" s="17"/>
      <c r="I946" s="17"/>
      <c r="J946" s="18"/>
      <c r="K946" s="19"/>
      <c r="L946" s="17"/>
      <c r="M946" s="14"/>
      <c r="N946" s="17"/>
      <c r="O946" s="17"/>
    </row>
    <row r="947" spans="1:15">
      <c r="A947" s="14"/>
      <c r="B947" s="15"/>
      <c r="C947" s="16"/>
      <c r="D947" s="14"/>
      <c r="E947" s="17"/>
      <c r="F947" s="17"/>
      <c r="G947" s="17"/>
      <c r="H947" s="17"/>
      <c r="I947" s="17"/>
      <c r="J947" s="18"/>
      <c r="K947" s="19"/>
      <c r="L947" s="17"/>
      <c r="M947" s="14"/>
      <c r="N947" s="17"/>
      <c r="O947" s="17"/>
    </row>
    <row r="948" spans="1:15">
      <c r="A948" s="14"/>
      <c r="B948" s="15"/>
      <c r="C948" s="16"/>
      <c r="D948" s="14"/>
      <c r="E948" s="17"/>
      <c r="F948" s="17"/>
      <c r="G948" s="17"/>
      <c r="H948" s="17"/>
      <c r="I948" s="17"/>
      <c r="J948" s="18"/>
      <c r="K948" s="19"/>
      <c r="L948" s="17"/>
      <c r="M948" s="14"/>
      <c r="N948" s="17"/>
      <c r="O948" s="17"/>
    </row>
    <row r="949" spans="1:15">
      <c r="A949" s="14"/>
      <c r="B949" s="15"/>
      <c r="C949" s="16"/>
      <c r="D949" s="14"/>
      <c r="E949" s="17"/>
      <c r="F949" s="17"/>
      <c r="G949" s="17"/>
      <c r="H949" s="17"/>
      <c r="I949" s="17"/>
      <c r="J949" s="18"/>
      <c r="K949" s="19"/>
      <c r="L949" s="17"/>
      <c r="M949" s="14"/>
      <c r="N949" s="17"/>
      <c r="O949" s="17"/>
    </row>
    <row r="950" spans="1:15">
      <c r="A950" s="14"/>
      <c r="B950" s="15"/>
      <c r="C950" s="16"/>
      <c r="D950" s="14"/>
      <c r="E950" s="17"/>
      <c r="F950" s="17"/>
      <c r="G950" s="17"/>
      <c r="H950" s="17"/>
      <c r="I950" s="17"/>
      <c r="J950" s="18"/>
      <c r="K950" s="19"/>
      <c r="L950" s="17"/>
      <c r="M950" s="14"/>
      <c r="N950" s="17"/>
      <c r="O950" s="17"/>
    </row>
    <row r="951" spans="1:15">
      <c r="A951" s="14"/>
      <c r="B951" s="15"/>
      <c r="C951" s="16"/>
      <c r="D951" s="14"/>
      <c r="E951" s="17"/>
      <c r="F951" s="17"/>
      <c r="G951" s="17"/>
      <c r="H951" s="17"/>
      <c r="I951" s="17"/>
      <c r="J951" s="18"/>
      <c r="K951" s="19"/>
      <c r="L951" s="17"/>
      <c r="M951" s="14"/>
      <c r="N951" s="17"/>
      <c r="O951" s="17"/>
    </row>
    <row r="952" spans="1:15">
      <c r="A952" s="14"/>
      <c r="B952" s="15"/>
      <c r="C952" s="16"/>
      <c r="D952" s="14"/>
      <c r="E952" s="17"/>
      <c r="F952" s="17"/>
      <c r="G952" s="17"/>
      <c r="H952" s="17"/>
      <c r="I952" s="17"/>
      <c r="J952" s="18"/>
      <c r="K952" s="19"/>
      <c r="L952" s="17"/>
      <c r="M952" s="14"/>
      <c r="N952" s="17"/>
      <c r="O952" s="17"/>
    </row>
    <row r="953" spans="1:15">
      <c r="A953" s="14"/>
      <c r="B953" s="15"/>
      <c r="C953" s="16"/>
      <c r="D953" s="14"/>
      <c r="E953" s="17"/>
      <c r="F953" s="17"/>
      <c r="G953" s="17"/>
      <c r="H953" s="17"/>
      <c r="I953" s="17"/>
      <c r="J953" s="18"/>
      <c r="K953" s="19"/>
      <c r="L953" s="17"/>
      <c r="M953" s="14"/>
      <c r="N953" s="17"/>
      <c r="O953" s="17"/>
    </row>
    <row r="954" spans="1:15">
      <c r="A954" s="14"/>
      <c r="B954" s="15"/>
      <c r="C954" s="16"/>
      <c r="D954" s="14"/>
      <c r="E954" s="17"/>
      <c r="F954" s="17"/>
      <c r="G954" s="17"/>
      <c r="H954" s="17"/>
      <c r="I954" s="17"/>
      <c r="J954" s="18"/>
      <c r="K954" s="19"/>
      <c r="L954" s="17"/>
      <c r="M954" s="14"/>
      <c r="N954" s="17"/>
      <c r="O954" s="17"/>
    </row>
    <row r="955" spans="1:15">
      <c r="A955" s="14"/>
      <c r="B955" s="15"/>
      <c r="C955" s="16"/>
      <c r="D955" s="14"/>
      <c r="E955" s="17"/>
      <c r="F955" s="17"/>
      <c r="G955" s="17"/>
      <c r="H955" s="17"/>
      <c r="I955" s="17"/>
      <c r="J955" s="18"/>
      <c r="K955" s="19"/>
      <c r="L955" s="17"/>
      <c r="M955" s="14"/>
      <c r="N955" s="17"/>
      <c r="O955" s="17"/>
    </row>
    <row r="956" spans="1:15">
      <c r="A956" s="14"/>
      <c r="B956" s="15"/>
      <c r="C956" s="16"/>
      <c r="D956" s="14"/>
      <c r="E956" s="17"/>
      <c r="F956" s="17"/>
      <c r="G956" s="17"/>
      <c r="H956" s="17"/>
      <c r="I956" s="17"/>
      <c r="J956" s="18"/>
      <c r="K956" s="19"/>
      <c r="L956" s="17"/>
      <c r="M956" s="14"/>
      <c r="N956" s="17"/>
      <c r="O956" s="17"/>
    </row>
    <row r="957" spans="1:15">
      <c r="A957" s="14"/>
      <c r="B957" s="15"/>
      <c r="C957" s="16"/>
      <c r="D957" s="14"/>
      <c r="E957" s="17"/>
      <c r="F957" s="17"/>
      <c r="G957" s="17"/>
      <c r="H957" s="17"/>
      <c r="I957" s="17"/>
      <c r="J957" s="18"/>
      <c r="K957" s="19"/>
      <c r="L957" s="17"/>
      <c r="M957" s="14"/>
      <c r="N957" s="17"/>
      <c r="O957" s="17"/>
    </row>
    <row r="958" spans="1:15">
      <c r="A958" s="14"/>
      <c r="B958" s="15"/>
      <c r="C958" s="16"/>
      <c r="D958" s="14"/>
      <c r="E958" s="17"/>
      <c r="F958" s="17"/>
      <c r="G958" s="17"/>
      <c r="H958" s="17"/>
      <c r="I958" s="17"/>
      <c r="J958" s="18"/>
      <c r="K958" s="19"/>
      <c r="L958" s="17"/>
      <c r="M958" s="14"/>
      <c r="N958" s="17"/>
      <c r="O958" s="17"/>
    </row>
    <row r="959" spans="1:15">
      <c r="A959" s="14"/>
      <c r="B959" s="15"/>
      <c r="C959" s="16"/>
      <c r="D959" s="14"/>
      <c r="E959" s="17"/>
      <c r="F959" s="17"/>
      <c r="G959" s="17"/>
      <c r="H959" s="17"/>
      <c r="I959" s="17"/>
      <c r="J959" s="18"/>
      <c r="K959" s="19"/>
      <c r="L959" s="17"/>
      <c r="M959" s="14"/>
      <c r="N959" s="17"/>
      <c r="O959" s="17"/>
    </row>
    <row r="960" spans="1:15">
      <c r="A960" s="14"/>
      <c r="B960" s="15"/>
      <c r="C960" s="16"/>
      <c r="D960" s="14"/>
      <c r="E960" s="17"/>
      <c r="F960" s="17"/>
      <c r="G960" s="17"/>
      <c r="H960" s="17"/>
      <c r="I960" s="17"/>
      <c r="J960" s="18"/>
      <c r="K960" s="19"/>
      <c r="L960" s="17"/>
      <c r="M960" s="14"/>
      <c r="N960" s="17"/>
      <c r="O960" s="17"/>
    </row>
    <row r="961" spans="1:15">
      <c r="A961" s="14"/>
      <c r="B961" s="15"/>
      <c r="C961" s="16"/>
      <c r="D961" s="14"/>
      <c r="E961" s="17"/>
      <c r="F961" s="17"/>
      <c r="G961" s="17"/>
      <c r="H961" s="17"/>
      <c r="I961" s="17"/>
      <c r="J961" s="18"/>
      <c r="K961" s="19"/>
      <c r="L961" s="17"/>
      <c r="M961" s="14"/>
      <c r="N961" s="17"/>
      <c r="O961" s="17"/>
    </row>
    <row r="962" spans="1:15">
      <c r="A962" s="14"/>
      <c r="B962" s="15"/>
      <c r="C962" s="16"/>
      <c r="D962" s="14"/>
      <c r="E962" s="17"/>
      <c r="F962" s="17"/>
      <c r="G962" s="17"/>
      <c r="H962" s="17"/>
      <c r="I962" s="17"/>
      <c r="J962" s="18"/>
      <c r="K962" s="19"/>
      <c r="L962" s="17"/>
      <c r="M962" s="14"/>
      <c r="N962" s="17"/>
      <c r="O962" s="17"/>
    </row>
    <row r="963" spans="1:15">
      <c r="A963" s="14"/>
      <c r="B963" s="15"/>
      <c r="C963" s="16"/>
      <c r="D963" s="14"/>
      <c r="E963" s="17"/>
      <c r="F963" s="17"/>
      <c r="G963" s="17"/>
      <c r="H963" s="17"/>
      <c r="I963" s="17"/>
      <c r="J963" s="18"/>
      <c r="K963" s="19"/>
      <c r="L963" s="17"/>
      <c r="M963" s="14"/>
      <c r="N963" s="17"/>
      <c r="O963" s="17"/>
    </row>
    <row r="964" spans="1:15">
      <c r="A964" s="14"/>
      <c r="B964" s="15"/>
      <c r="C964" s="16"/>
      <c r="D964" s="14"/>
      <c r="E964" s="17"/>
      <c r="F964" s="17"/>
      <c r="G964" s="17"/>
      <c r="H964" s="17"/>
      <c r="I964" s="17"/>
      <c r="J964" s="18"/>
      <c r="K964" s="19"/>
      <c r="L964" s="17"/>
      <c r="M964" s="14"/>
      <c r="N964" s="17"/>
      <c r="O964" s="17"/>
    </row>
    <row r="965" spans="1:15">
      <c r="A965" s="14"/>
      <c r="B965" s="15"/>
      <c r="C965" s="16"/>
      <c r="D965" s="14"/>
      <c r="E965" s="17"/>
      <c r="F965" s="17"/>
      <c r="G965" s="17"/>
      <c r="H965" s="17"/>
      <c r="I965" s="17"/>
      <c r="J965" s="18"/>
      <c r="K965" s="19"/>
      <c r="L965" s="17"/>
      <c r="M965" s="14"/>
      <c r="N965" s="17"/>
      <c r="O965" s="17"/>
    </row>
    <row r="966" spans="1:15">
      <c r="A966" s="14"/>
      <c r="B966" s="15"/>
      <c r="C966" s="16"/>
      <c r="D966" s="14"/>
      <c r="E966" s="17"/>
      <c r="F966" s="17"/>
      <c r="G966" s="17"/>
      <c r="H966" s="17"/>
      <c r="I966" s="17"/>
      <c r="J966" s="18"/>
      <c r="K966" s="19"/>
      <c r="L966" s="17"/>
      <c r="M966" s="14"/>
      <c r="N966" s="17"/>
      <c r="O966" s="17"/>
    </row>
    <row r="967" spans="1:15">
      <c r="A967" s="14"/>
      <c r="B967" s="15"/>
      <c r="C967" s="16"/>
      <c r="D967" s="14"/>
      <c r="E967" s="17"/>
      <c r="F967" s="17"/>
      <c r="G967" s="17"/>
      <c r="H967" s="17"/>
      <c r="I967" s="17"/>
      <c r="J967" s="18"/>
      <c r="K967" s="19"/>
      <c r="L967" s="17"/>
      <c r="M967" s="14"/>
      <c r="N967" s="17"/>
      <c r="O967" s="17"/>
    </row>
    <row r="968" spans="1:15">
      <c r="A968" s="14"/>
      <c r="B968" s="15"/>
      <c r="C968" s="16"/>
      <c r="D968" s="14"/>
      <c r="E968" s="17"/>
      <c r="F968" s="17"/>
      <c r="G968" s="17"/>
      <c r="H968" s="17"/>
      <c r="I968" s="17"/>
      <c r="J968" s="18"/>
      <c r="K968" s="19"/>
      <c r="L968" s="17"/>
      <c r="M968" s="14"/>
      <c r="N968" s="17"/>
      <c r="O968" s="17"/>
    </row>
    <row r="969" spans="1:15">
      <c r="A969" s="14"/>
      <c r="B969" s="15"/>
      <c r="C969" s="16"/>
      <c r="D969" s="14"/>
      <c r="E969" s="17"/>
      <c r="F969" s="17"/>
      <c r="G969" s="17"/>
      <c r="H969" s="17"/>
      <c r="I969" s="17"/>
      <c r="J969" s="18"/>
      <c r="K969" s="19"/>
      <c r="L969" s="17"/>
      <c r="M969" s="14"/>
      <c r="N969" s="17"/>
      <c r="O969" s="17"/>
    </row>
    <row r="970" spans="1:15">
      <c r="A970" s="14"/>
      <c r="B970" s="15"/>
      <c r="C970" s="16"/>
      <c r="D970" s="14"/>
      <c r="E970" s="17"/>
      <c r="F970" s="17"/>
      <c r="G970" s="17"/>
      <c r="H970" s="17"/>
      <c r="I970" s="17"/>
      <c r="J970" s="18"/>
      <c r="K970" s="19"/>
      <c r="L970" s="17"/>
      <c r="M970" s="14"/>
      <c r="N970" s="17"/>
      <c r="O970" s="17"/>
    </row>
    <row r="971" spans="1:15">
      <c r="A971" s="14"/>
      <c r="B971" s="15"/>
      <c r="C971" s="16"/>
      <c r="D971" s="14"/>
      <c r="E971" s="17"/>
      <c r="F971" s="17"/>
      <c r="G971" s="17"/>
      <c r="H971" s="17"/>
      <c r="I971" s="17"/>
      <c r="J971" s="18"/>
      <c r="K971" s="19"/>
      <c r="L971" s="17"/>
      <c r="M971" s="14"/>
      <c r="N971" s="17"/>
      <c r="O971" s="17"/>
    </row>
    <row r="972" spans="1:15">
      <c r="A972" s="14"/>
      <c r="B972" s="15"/>
      <c r="C972" s="16"/>
      <c r="D972" s="14"/>
      <c r="E972" s="17"/>
      <c r="F972" s="17"/>
      <c r="G972" s="17"/>
      <c r="H972" s="17"/>
      <c r="I972" s="17"/>
      <c r="J972" s="18"/>
      <c r="K972" s="19"/>
      <c r="L972" s="17"/>
      <c r="M972" s="14"/>
      <c r="N972" s="17"/>
      <c r="O972" s="17"/>
    </row>
    <row r="973" spans="1:15">
      <c r="A973" s="14"/>
      <c r="B973" s="15"/>
      <c r="C973" s="16"/>
      <c r="D973" s="14"/>
      <c r="E973" s="17"/>
      <c r="F973" s="17"/>
      <c r="G973" s="17"/>
      <c r="H973" s="17"/>
      <c r="I973" s="17"/>
      <c r="J973" s="18"/>
      <c r="K973" s="19"/>
      <c r="L973" s="17"/>
      <c r="M973" s="14"/>
      <c r="N973" s="17"/>
      <c r="O973" s="17"/>
    </row>
    <row r="974" spans="1:15">
      <c r="A974" s="14"/>
      <c r="B974" s="15"/>
      <c r="C974" s="16"/>
      <c r="D974" s="14"/>
      <c r="E974" s="17"/>
      <c r="F974" s="17"/>
      <c r="G974" s="17"/>
      <c r="H974" s="17"/>
      <c r="I974" s="17"/>
      <c r="J974" s="18"/>
      <c r="K974" s="19"/>
      <c r="L974" s="17"/>
      <c r="M974" s="14"/>
      <c r="N974" s="17"/>
      <c r="O974" s="17"/>
    </row>
    <row r="975" spans="1:15">
      <c r="A975" s="14"/>
      <c r="B975" s="15"/>
      <c r="C975" s="16"/>
      <c r="D975" s="14"/>
      <c r="E975" s="17"/>
      <c r="F975" s="17"/>
      <c r="G975" s="17"/>
      <c r="H975" s="17"/>
      <c r="I975" s="17"/>
      <c r="J975" s="18"/>
      <c r="K975" s="19"/>
      <c r="L975" s="17"/>
      <c r="M975" s="14"/>
      <c r="N975" s="17"/>
      <c r="O975" s="17"/>
    </row>
    <row r="976" spans="1:15">
      <c r="A976" s="14"/>
      <c r="B976" s="15"/>
      <c r="C976" s="16"/>
      <c r="D976" s="14"/>
      <c r="E976" s="17"/>
      <c r="F976" s="17"/>
      <c r="G976" s="17"/>
      <c r="H976" s="17"/>
      <c r="I976" s="17"/>
      <c r="J976" s="18"/>
      <c r="K976" s="19"/>
      <c r="L976" s="17"/>
      <c r="M976" s="14"/>
      <c r="N976" s="17"/>
      <c r="O976" s="17"/>
    </row>
    <row r="977" spans="1:15">
      <c r="A977" s="14"/>
      <c r="B977" s="15"/>
      <c r="C977" s="16"/>
      <c r="D977" s="14"/>
      <c r="E977" s="17"/>
      <c r="F977" s="17"/>
      <c r="G977" s="17"/>
      <c r="H977" s="17"/>
      <c r="I977" s="17"/>
      <c r="J977" s="18"/>
      <c r="K977" s="19"/>
      <c r="L977" s="17"/>
      <c r="M977" s="14"/>
      <c r="N977" s="17"/>
      <c r="O977" s="17"/>
    </row>
    <row r="978" spans="1:15">
      <c r="A978" s="14"/>
      <c r="B978" s="15"/>
      <c r="C978" s="16"/>
      <c r="D978" s="14"/>
      <c r="E978" s="17"/>
      <c r="F978" s="17"/>
      <c r="G978" s="17"/>
      <c r="H978" s="17"/>
      <c r="I978" s="17"/>
      <c r="J978" s="18"/>
      <c r="K978" s="19"/>
      <c r="L978" s="17"/>
      <c r="M978" s="14"/>
      <c r="N978" s="17"/>
      <c r="O978" s="17"/>
    </row>
    <row r="979" spans="1:15">
      <c r="A979" s="14"/>
      <c r="B979" s="15"/>
      <c r="C979" s="16"/>
      <c r="D979" s="14"/>
      <c r="E979" s="17"/>
      <c r="F979" s="17"/>
      <c r="G979" s="17"/>
      <c r="H979" s="17"/>
      <c r="I979" s="17"/>
      <c r="J979" s="18"/>
      <c r="K979" s="19"/>
      <c r="L979" s="17"/>
      <c r="M979" s="14"/>
      <c r="N979" s="17"/>
      <c r="O979" s="17"/>
    </row>
    <row r="980" spans="1:15">
      <c r="A980" s="14"/>
      <c r="B980" s="15"/>
      <c r="C980" s="16"/>
      <c r="D980" s="14"/>
      <c r="E980" s="17"/>
      <c r="F980" s="17"/>
      <c r="G980" s="17"/>
      <c r="H980" s="17"/>
      <c r="I980" s="17"/>
      <c r="J980" s="18"/>
      <c r="K980" s="19"/>
      <c r="L980" s="17"/>
      <c r="M980" s="14"/>
      <c r="N980" s="17"/>
      <c r="O980" s="17"/>
    </row>
    <row r="981" spans="1:15">
      <c r="A981" s="14"/>
      <c r="B981" s="15"/>
      <c r="C981" s="16"/>
      <c r="D981" s="14"/>
      <c r="E981" s="17"/>
      <c r="F981" s="17"/>
      <c r="G981" s="17"/>
      <c r="H981" s="17"/>
      <c r="I981" s="17"/>
      <c r="J981" s="18"/>
      <c r="K981" s="19"/>
      <c r="L981" s="17"/>
      <c r="M981" s="14"/>
      <c r="N981" s="17"/>
      <c r="O981" s="17"/>
    </row>
    <row r="982" spans="1:15">
      <c r="A982" s="14"/>
      <c r="B982" s="15"/>
      <c r="C982" s="16"/>
      <c r="D982" s="14"/>
      <c r="E982" s="17"/>
      <c r="F982" s="17"/>
      <c r="G982" s="17"/>
      <c r="H982" s="17"/>
      <c r="I982" s="17"/>
      <c r="J982" s="18"/>
      <c r="K982" s="19"/>
      <c r="L982" s="17"/>
      <c r="M982" s="14"/>
      <c r="N982" s="17"/>
      <c r="O982" s="17"/>
    </row>
    <row r="983" spans="1:15">
      <c r="A983" s="14"/>
      <c r="B983" s="15"/>
      <c r="C983" s="16"/>
      <c r="D983" s="14"/>
      <c r="E983" s="17"/>
      <c r="F983" s="17"/>
      <c r="G983" s="17"/>
      <c r="H983" s="17"/>
      <c r="I983" s="17"/>
      <c r="J983" s="18"/>
      <c r="K983" s="19"/>
      <c r="L983" s="17"/>
      <c r="M983" s="14"/>
      <c r="N983" s="17"/>
      <c r="O983" s="17"/>
    </row>
    <row r="984" spans="1:15">
      <c r="A984" s="14"/>
      <c r="B984" s="15"/>
      <c r="C984" s="16"/>
      <c r="D984" s="14"/>
      <c r="E984" s="17"/>
      <c r="F984" s="17"/>
      <c r="G984" s="17"/>
      <c r="H984" s="17"/>
      <c r="I984" s="17"/>
      <c r="J984" s="18"/>
      <c r="K984" s="19"/>
      <c r="L984" s="17"/>
      <c r="M984" s="14"/>
      <c r="N984" s="17"/>
      <c r="O984" s="17"/>
    </row>
    <row r="985" spans="1:15">
      <c r="A985" s="14"/>
      <c r="B985" s="15"/>
      <c r="C985" s="16"/>
      <c r="D985" s="14"/>
      <c r="E985" s="17"/>
      <c r="F985" s="17"/>
      <c r="G985" s="17"/>
      <c r="H985" s="17"/>
      <c r="I985" s="17"/>
      <c r="J985" s="18"/>
      <c r="K985" s="19"/>
      <c r="L985" s="17"/>
      <c r="M985" s="14"/>
      <c r="N985" s="17"/>
      <c r="O985" s="17"/>
    </row>
    <row r="986" spans="1:15">
      <c r="A986" s="14"/>
      <c r="B986" s="15"/>
      <c r="C986" s="16"/>
      <c r="D986" s="14"/>
      <c r="E986" s="17"/>
      <c r="F986" s="17"/>
      <c r="G986" s="17"/>
      <c r="H986" s="17"/>
      <c r="I986" s="17"/>
      <c r="J986" s="18"/>
      <c r="K986" s="19"/>
      <c r="L986" s="17"/>
      <c r="M986" s="14"/>
      <c r="N986" s="17"/>
      <c r="O986" s="17"/>
    </row>
    <row r="987" spans="1:15">
      <c r="A987" s="14"/>
      <c r="B987" s="15"/>
      <c r="C987" s="16"/>
      <c r="D987" s="14"/>
      <c r="E987" s="17"/>
      <c r="F987" s="17"/>
      <c r="G987" s="17"/>
      <c r="H987" s="17"/>
      <c r="I987" s="17"/>
      <c r="J987" s="18"/>
      <c r="K987" s="19"/>
      <c r="L987" s="17"/>
      <c r="M987" s="14"/>
      <c r="N987" s="17"/>
      <c r="O987" s="17"/>
    </row>
    <row r="988" spans="1:15">
      <c r="A988" s="14"/>
      <c r="B988" s="15"/>
      <c r="C988" s="16"/>
      <c r="D988" s="14"/>
      <c r="E988" s="17"/>
      <c r="F988" s="17"/>
      <c r="G988" s="17"/>
      <c r="H988" s="17"/>
      <c r="I988" s="17"/>
      <c r="J988" s="18"/>
      <c r="K988" s="19"/>
      <c r="L988" s="17"/>
      <c r="M988" s="14"/>
      <c r="N988" s="17"/>
      <c r="O988" s="17"/>
    </row>
    <row r="989" spans="1:15">
      <c r="A989" s="14"/>
      <c r="B989" s="15"/>
      <c r="C989" s="16"/>
      <c r="D989" s="14"/>
      <c r="E989" s="17"/>
      <c r="F989" s="17"/>
      <c r="G989" s="17"/>
      <c r="H989" s="17"/>
      <c r="I989" s="17"/>
      <c r="J989" s="18"/>
      <c r="K989" s="19"/>
      <c r="L989" s="17"/>
      <c r="M989" s="14"/>
      <c r="N989" s="17"/>
      <c r="O989" s="17"/>
    </row>
    <row r="990" spans="1:15">
      <c r="A990" s="14"/>
      <c r="B990" s="15"/>
      <c r="C990" s="16"/>
      <c r="D990" s="14"/>
      <c r="E990" s="17"/>
      <c r="F990" s="17"/>
      <c r="G990" s="17"/>
      <c r="H990" s="17"/>
      <c r="I990" s="17"/>
      <c r="J990" s="18"/>
      <c r="K990" s="19"/>
      <c r="L990" s="17"/>
      <c r="M990" s="14"/>
      <c r="N990" s="17"/>
      <c r="O990" s="17"/>
    </row>
    <row r="991" spans="1:15">
      <c r="A991" s="14"/>
      <c r="B991" s="15"/>
      <c r="C991" s="16"/>
      <c r="D991" s="14"/>
      <c r="E991" s="17"/>
      <c r="F991" s="17"/>
      <c r="G991" s="17"/>
      <c r="H991" s="17"/>
      <c r="I991" s="17"/>
      <c r="J991" s="18"/>
      <c r="K991" s="19"/>
      <c r="L991" s="17"/>
      <c r="M991" s="14"/>
      <c r="N991" s="17"/>
      <c r="O991" s="17"/>
    </row>
    <row r="992" spans="1:15">
      <c r="A992" s="14"/>
      <c r="B992" s="15"/>
      <c r="C992" s="16"/>
      <c r="D992" s="14"/>
      <c r="E992" s="17"/>
      <c r="F992" s="17"/>
      <c r="G992" s="17"/>
      <c r="H992" s="17"/>
      <c r="I992" s="17"/>
      <c r="J992" s="18"/>
      <c r="K992" s="19"/>
      <c r="L992" s="17"/>
      <c r="M992" s="14"/>
      <c r="N992" s="17"/>
      <c r="O992" s="17"/>
    </row>
    <row r="993" spans="1:15">
      <c r="A993" s="14"/>
      <c r="B993" s="15"/>
      <c r="C993" s="16"/>
      <c r="D993" s="14"/>
      <c r="E993" s="17"/>
      <c r="F993" s="17"/>
      <c r="G993" s="17"/>
      <c r="H993" s="17"/>
      <c r="I993" s="17"/>
      <c r="J993" s="18"/>
      <c r="K993" s="19"/>
      <c r="L993" s="17"/>
      <c r="M993" s="14"/>
      <c r="N993" s="17"/>
      <c r="O993" s="17"/>
    </row>
    <row r="994" spans="1:15">
      <c r="A994" s="14"/>
      <c r="B994" s="15"/>
      <c r="C994" s="16"/>
      <c r="D994" s="14"/>
      <c r="E994" s="17"/>
      <c r="F994" s="17"/>
      <c r="G994" s="17"/>
      <c r="H994" s="17"/>
      <c r="I994" s="17"/>
      <c r="J994" s="18"/>
      <c r="K994" s="19"/>
      <c r="L994" s="17"/>
      <c r="M994" s="14"/>
      <c r="N994" s="17"/>
      <c r="O994" s="17"/>
    </row>
    <row r="995" spans="1:15">
      <c r="A995" s="14"/>
      <c r="B995" s="15"/>
      <c r="C995" s="16"/>
      <c r="D995" s="14"/>
      <c r="E995" s="17"/>
      <c r="F995" s="17"/>
      <c r="G995" s="17"/>
      <c r="H995" s="17"/>
      <c r="I995" s="17"/>
      <c r="J995" s="18"/>
      <c r="K995" s="19"/>
      <c r="L995" s="17"/>
      <c r="M995" s="14"/>
      <c r="N995" s="17"/>
      <c r="O995" s="17"/>
    </row>
    <row r="996" spans="1:15">
      <c r="A996" s="14"/>
      <c r="B996" s="15"/>
      <c r="C996" s="16"/>
      <c r="D996" s="14"/>
      <c r="E996" s="17"/>
      <c r="F996" s="17"/>
      <c r="G996" s="17"/>
      <c r="H996" s="17"/>
      <c r="I996" s="17"/>
      <c r="J996" s="18"/>
      <c r="K996" s="19"/>
      <c r="L996" s="17"/>
      <c r="M996" s="14"/>
      <c r="N996" s="17"/>
      <c r="O996" s="17"/>
    </row>
    <row r="997" spans="1:15">
      <c r="A997" s="14"/>
      <c r="B997" s="15"/>
      <c r="C997" s="16"/>
      <c r="D997" s="14"/>
      <c r="E997" s="17"/>
      <c r="F997" s="17"/>
      <c r="G997" s="17"/>
      <c r="H997" s="17"/>
      <c r="I997" s="17"/>
      <c r="J997" s="18"/>
      <c r="K997" s="19"/>
      <c r="L997" s="17"/>
      <c r="M997" s="14"/>
      <c r="N997" s="17"/>
      <c r="O997" s="17"/>
    </row>
    <row r="998" spans="1:15">
      <c r="A998" s="14"/>
      <c r="B998" s="15"/>
      <c r="C998" s="16"/>
      <c r="D998" s="14"/>
      <c r="E998" s="17"/>
      <c r="F998" s="17"/>
      <c r="G998" s="17"/>
      <c r="H998" s="17"/>
      <c r="I998" s="17"/>
      <c r="J998" s="18"/>
      <c r="K998" s="19"/>
      <c r="L998" s="17"/>
      <c r="M998" s="14"/>
      <c r="N998" s="17"/>
      <c r="O998" s="17"/>
    </row>
    <row r="999" spans="1:15">
      <c r="A999" s="14"/>
      <c r="B999" s="15"/>
      <c r="C999" s="16"/>
      <c r="D999" s="14"/>
      <c r="E999" s="17"/>
      <c r="F999" s="17"/>
      <c r="G999" s="17"/>
      <c r="H999" s="17"/>
      <c r="I999" s="17"/>
      <c r="J999" s="18"/>
      <c r="K999" s="19"/>
      <c r="L999" s="17"/>
      <c r="M999" s="14"/>
      <c r="N999" s="17"/>
      <c r="O999" s="17"/>
    </row>
    <row r="1000" spans="1:15">
      <c r="A1000" s="14"/>
      <c r="B1000" s="15"/>
      <c r="C1000" s="16"/>
      <c r="D1000" s="14"/>
      <c r="E1000" s="17"/>
      <c r="F1000" s="17"/>
      <c r="G1000" s="17"/>
      <c r="H1000" s="17"/>
      <c r="I1000" s="17"/>
      <c r="J1000" s="18"/>
      <c r="K1000" s="19"/>
      <c r="L1000" s="17"/>
      <c r="M1000" s="14"/>
      <c r="N1000" s="17"/>
      <c r="O1000" s="17"/>
    </row>
    <row r="1001" spans="1:15">
      <c r="A1001" s="14"/>
      <c r="B1001" s="15"/>
      <c r="C1001" s="16"/>
      <c r="D1001" s="14"/>
      <c r="E1001" s="17"/>
      <c r="F1001" s="17"/>
      <c r="G1001" s="17"/>
      <c r="H1001" s="17"/>
      <c r="I1001" s="17"/>
      <c r="J1001" s="18"/>
      <c r="K1001" s="19"/>
      <c r="L1001" s="17"/>
      <c r="M1001" s="14"/>
      <c r="N1001" s="17"/>
      <c r="O1001" s="17"/>
    </row>
    <row r="1002" spans="1:15">
      <c r="A1002" s="14"/>
      <c r="B1002" s="15"/>
      <c r="C1002" s="16"/>
      <c r="D1002" s="14"/>
      <c r="E1002" s="17"/>
      <c r="F1002" s="17"/>
      <c r="G1002" s="17"/>
      <c r="H1002" s="17"/>
      <c r="I1002" s="17"/>
      <c r="J1002" s="18"/>
      <c r="K1002" s="19"/>
      <c r="L1002" s="17"/>
      <c r="M1002" s="14"/>
      <c r="N1002" s="17"/>
      <c r="O1002" s="17"/>
    </row>
    <row r="1003" spans="1:15">
      <c r="A1003" s="14"/>
      <c r="B1003" s="15"/>
      <c r="C1003" s="16"/>
      <c r="D1003" s="14"/>
      <c r="E1003" s="17"/>
      <c r="F1003" s="17"/>
      <c r="G1003" s="17"/>
      <c r="H1003" s="17"/>
      <c r="I1003" s="17"/>
      <c r="J1003" s="18"/>
      <c r="K1003" s="19"/>
      <c r="L1003" s="17"/>
      <c r="M1003" s="14"/>
      <c r="N1003" s="17"/>
      <c r="O1003" s="17"/>
    </row>
    <row r="1004" spans="1:15">
      <c r="A1004" s="14"/>
      <c r="B1004" s="15"/>
      <c r="C1004" s="16"/>
      <c r="D1004" s="14"/>
      <c r="E1004" s="17"/>
      <c r="F1004" s="17"/>
      <c r="G1004" s="17"/>
      <c r="H1004" s="17"/>
      <c r="I1004" s="17"/>
      <c r="J1004" s="18"/>
      <c r="K1004" s="19"/>
      <c r="L1004" s="17"/>
      <c r="M1004" s="14"/>
      <c r="N1004" s="17"/>
      <c r="O1004" s="17"/>
    </row>
    <row r="1005" spans="1:15">
      <c r="A1005" s="14"/>
      <c r="B1005" s="15"/>
      <c r="C1005" s="16"/>
      <c r="D1005" s="14"/>
      <c r="E1005" s="17"/>
      <c r="F1005" s="17"/>
      <c r="G1005" s="17"/>
      <c r="H1005" s="17"/>
      <c r="I1005" s="17"/>
      <c r="J1005" s="18"/>
      <c r="K1005" s="19"/>
      <c r="L1005" s="17"/>
      <c r="M1005" s="14"/>
      <c r="N1005" s="17"/>
      <c r="O1005" s="17"/>
    </row>
    <row r="1006" spans="1:15">
      <c r="A1006" s="14"/>
      <c r="B1006" s="15"/>
      <c r="C1006" s="16"/>
      <c r="D1006" s="14"/>
      <c r="E1006" s="17"/>
      <c r="F1006" s="17"/>
      <c r="G1006" s="17"/>
      <c r="H1006" s="17"/>
      <c r="I1006" s="17"/>
      <c r="J1006" s="18"/>
      <c r="K1006" s="19"/>
      <c r="L1006" s="17"/>
      <c r="M1006" s="14"/>
      <c r="N1006" s="17"/>
      <c r="O1006" s="17"/>
    </row>
    <row r="1007" spans="1:15">
      <c r="A1007" s="14"/>
      <c r="B1007" s="15"/>
      <c r="C1007" s="16"/>
      <c r="D1007" s="14"/>
      <c r="E1007" s="17"/>
      <c r="F1007" s="17"/>
      <c r="G1007" s="17"/>
      <c r="H1007" s="17"/>
      <c r="I1007" s="17"/>
      <c r="J1007" s="18"/>
      <c r="K1007" s="19"/>
      <c r="L1007" s="17"/>
      <c r="M1007" s="14"/>
      <c r="N1007" s="17"/>
      <c r="O1007" s="17"/>
    </row>
    <row r="1008" spans="1:15">
      <c r="A1008" s="14"/>
      <c r="B1008" s="15"/>
      <c r="C1008" s="16"/>
      <c r="D1008" s="14"/>
      <c r="E1008" s="17"/>
      <c r="F1008" s="17"/>
      <c r="G1008" s="17"/>
      <c r="H1008" s="17"/>
      <c r="I1008" s="17"/>
      <c r="J1008" s="18"/>
      <c r="K1008" s="19"/>
      <c r="L1008" s="17"/>
      <c r="M1008" s="14"/>
      <c r="N1008" s="17"/>
      <c r="O1008" s="17"/>
    </row>
    <row r="1009" spans="1:15">
      <c r="A1009" s="14"/>
      <c r="B1009" s="15"/>
      <c r="C1009" s="16"/>
      <c r="D1009" s="14"/>
      <c r="E1009" s="17"/>
      <c r="F1009" s="17"/>
      <c r="G1009" s="17"/>
      <c r="H1009" s="17"/>
      <c r="I1009" s="17"/>
      <c r="J1009" s="18"/>
      <c r="K1009" s="19"/>
      <c r="L1009" s="17"/>
      <c r="M1009" s="14"/>
      <c r="N1009" s="17"/>
      <c r="O1009" s="17"/>
    </row>
    <row r="1010" spans="1:15">
      <c r="A1010" s="14"/>
      <c r="B1010" s="15"/>
      <c r="C1010" s="16"/>
      <c r="D1010" s="14"/>
      <c r="E1010" s="17"/>
      <c r="F1010" s="17"/>
      <c r="G1010" s="17"/>
      <c r="H1010" s="17"/>
      <c r="I1010" s="17"/>
      <c r="J1010" s="18"/>
      <c r="K1010" s="19"/>
      <c r="L1010" s="17"/>
      <c r="M1010" s="14"/>
      <c r="N1010" s="17"/>
      <c r="O1010" s="17"/>
    </row>
    <row r="1011" spans="1:15">
      <c r="A1011" s="14"/>
      <c r="B1011" s="15"/>
      <c r="C1011" s="16"/>
      <c r="D1011" s="14"/>
      <c r="E1011" s="17"/>
      <c r="F1011" s="17"/>
      <c r="G1011" s="17"/>
      <c r="H1011" s="17"/>
      <c r="I1011" s="17"/>
      <c r="J1011" s="18"/>
      <c r="K1011" s="19"/>
      <c r="L1011" s="17"/>
      <c r="M1011" s="14"/>
      <c r="N1011" s="17"/>
      <c r="O1011" s="17"/>
    </row>
    <row r="1012" spans="1:15">
      <c r="A1012" s="14"/>
      <c r="B1012" s="15"/>
      <c r="C1012" s="16"/>
      <c r="D1012" s="14"/>
      <c r="E1012" s="17"/>
      <c r="F1012" s="17"/>
      <c r="G1012" s="17"/>
      <c r="H1012" s="17"/>
      <c r="I1012" s="17"/>
      <c r="J1012" s="18"/>
      <c r="K1012" s="19"/>
      <c r="L1012" s="17"/>
      <c r="M1012" s="14"/>
      <c r="N1012" s="17"/>
      <c r="O1012" s="17"/>
    </row>
    <row r="1013" spans="1:15">
      <c r="A1013" s="14"/>
      <c r="B1013" s="15"/>
      <c r="C1013" s="16"/>
      <c r="D1013" s="14"/>
      <c r="E1013" s="17"/>
      <c r="F1013" s="17"/>
      <c r="G1013" s="17"/>
      <c r="H1013" s="17"/>
      <c r="I1013" s="17"/>
      <c r="J1013" s="18"/>
      <c r="K1013" s="19"/>
      <c r="L1013" s="17"/>
      <c r="M1013" s="14"/>
      <c r="N1013" s="17"/>
      <c r="O1013" s="17"/>
    </row>
    <row r="1014" spans="1:15">
      <c r="A1014" s="14"/>
      <c r="B1014" s="15"/>
      <c r="C1014" s="16"/>
      <c r="D1014" s="14"/>
      <c r="E1014" s="17"/>
      <c r="F1014" s="17"/>
      <c r="G1014" s="17"/>
      <c r="H1014" s="17"/>
      <c r="I1014" s="17"/>
      <c r="J1014" s="18"/>
      <c r="K1014" s="19"/>
      <c r="L1014" s="17"/>
      <c r="M1014" s="14"/>
      <c r="N1014" s="17"/>
      <c r="O1014" s="17"/>
    </row>
    <row r="1015" spans="1:15">
      <c r="A1015" s="14"/>
      <c r="B1015" s="15"/>
      <c r="C1015" s="16"/>
      <c r="D1015" s="14"/>
      <c r="E1015" s="17"/>
      <c r="F1015" s="17"/>
      <c r="G1015" s="17"/>
      <c r="H1015" s="17"/>
      <c r="I1015" s="17"/>
      <c r="J1015" s="18"/>
      <c r="K1015" s="19"/>
      <c r="L1015" s="17"/>
      <c r="M1015" s="14"/>
      <c r="N1015" s="17"/>
      <c r="O1015" s="17"/>
    </row>
    <row r="1016" spans="1:15">
      <c r="A1016" s="14"/>
      <c r="B1016" s="15"/>
      <c r="C1016" s="16"/>
      <c r="D1016" s="14"/>
      <c r="E1016" s="17"/>
      <c r="F1016" s="17"/>
      <c r="G1016" s="17"/>
      <c r="H1016" s="17"/>
      <c r="I1016" s="17"/>
      <c r="J1016" s="18"/>
      <c r="K1016" s="19"/>
      <c r="L1016" s="17"/>
      <c r="M1016" s="14"/>
      <c r="N1016" s="17"/>
      <c r="O1016" s="17"/>
    </row>
    <row r="1017" spans="1:15">
      <c r="A1017" s="14"/>
      <c r="B1017" s="15"/>
      <c r="C1017" s="16"/>
      <c r="D1017" s="14"/>
      <c r="E1017" s="17"/>
      <c r="F1017" s="17"/>
      <c r="G1017" s="17"/>
      <c r="H1017" s="17"/>
      <c r="I1017" s="17"/>
      <c r="J1017" s="18"/>
      <c r="K1017" s="19"/>
      <c r="L1017" s="17"/>
      <c r="M1017" s="14"/>
      <c r="N1017" s="17"/>
      <c r="O1017" s="17"/>
    </row>
    <row r="1018" spans="1:15">
      <c r="A1018" s="14"/>
      <c r="B1018" s="15"/>
      <c r="C1018" s="16"/>
      <c r="D1018" s="14"/>
      <c r="E1018" s="17"/>
      <c r="F1018" s="17"/>
      <c r="G1018" s="17"/>
      <c r="H1018" s="17"/>
      <c r="I1018" s="17"/>
      <c r="J1018" s="18"/>
      <c r="K1018" s="19"/>
      <c r="L1018" s="17"/>
      <c r="M1018" s="14"/>
      <c r="N1018" s="17"/>
      <c r="O1018" s="17"/>
    </row>
    <row r="1019" spans="1:15">
      <c r="A1019" s="14"/>
      <c r="B1019" s="15"/>
      <c r="C1019" s="16"/>
      <c r="D1019" s="14"/>
      <c r="E1019" s="17"/>
      <c r="F1019" s="17"/>
      <c r="G1019" s="17"/>
      <c r="H1019" s="17"/>
      <c r="I1019" s="17"/>
      <c r="J1019" s="18"/>
      <c r="K1019" s="19"/>
      <c r="L1019" s="17"/>
      <c r="M1019" s="14"/>
      <c r="N1019" s="17"/>
      <c r="O1019" s="17"/>
    </row>
    <row r="1020" spans="1:15">
      <c r="A1020" s="14"/>
      <c r="B1020" s="15"/>
      <c r="C1020" s="16"/>
      <c r="D1020" s="14"/>
      <c r="E1020" s="17"/>
      <c r="F1020" s="17"/>
      <c r="G1020" s="17"/>
      <c r="H1020" s="17"/>
      <c r="I1020" s="17"/>
      <c r="J1020" s="18"/>
      <c r="K1020" s="19"/>
      <c r="L1020" s="17"/>
      <c r="M1020" s="14"/>
      <c r="N1020" s="17"/>
      <c r="O1020" s="17"/>
    </row>
    <row r="1021" spans="1:15">
      <c r="A1021" s="14"/>
      <c r="B1021" s="15"/>
      <c r="C1021" s="16"/>
      <c r="D1021" s="14"/>
      <c r="E1021" s="17"/>
      <c r="F1021" s="17"/>
      <c r="G1021" s="17"/>
      <c r="H1021" s="17"/>
      <c r="I1021" s="17"/>
      <c r="J1021" s="18"/>
      <c r="K1021" s="19"/>
      <c r="L1021" s="17"/>
      <c r="M1021" s="14"/>
      <c r="N1021" s="17"/>
      <c r="O1021" s="17"/>
    </row>
    <row r="1022" spans="1:15">
      <c r="A1022" s="14"/>
      <c r="B1022" s="15"/>
      <c r="C1022" s="16"/>
      <c r="D1022" s="14"/>
      <c r="E1022" s="17"/>
      <c r="F1022" s="17"/>
      <c r="G1022" s="17"/>
      <c r="H1022" s="17"/>
      <c r="I1022" s="17"/>
      <c r="J1022" s="18"/>
      <c r="K1022" s="19"/>
      <c r="L1022" s="17"/>
      <c r="M1022" s="14"/>
      <c r="N1022" s="17"/>
      <c r="O1022" s="17"/>
    </row>
    <row r="1023" spans="1:15">
      <c r="A1023" s="14"/>
      <c r="B1023" s="15"/>
      <c r="C1023" s="16"/>
      <c r="D1023" s="14"/>
      <c r="E1023" s="17"/>
      <c r="F1023" s="17"/>
      <c r="G1023" s="17"/>
      <c r="H1023" s="17"/>
      <c r="I1023" s="17"/>
      <c r="J1023" s="18"/>
      <c r="K1023" s="19"/>
      <c r="L1023" s="17"/>
      <c r="M1023" s="14"/>
      <c r="N1023" s="17"/>
      <c r="O1023" s="17"/>
    </row>
    <row r="1024" spans="1:15">
      <c r="A1024" s="14"/>
      <c r="B1024" s="15"/>
      <c r="C1024" s="16"/>
      <c r="D1024" s="14"/>
      <c r="E1024" s="17"/>
      <c r="F1024" s="17"/>
      <c r="G1024" s="17"/>
      <c r="H1024" s="17"/>
      <c r="I1024" s="17"/>
      <c r="J1024" s="18"/>
      <c r="K1024" s="19"/>
      <c r="L1024" s="17"/>
      <c r="M1024" s="14"/>
      <c r="N1024" s="17"/>
      <c r="O1024" s="17"/>
    </row>
    <row r="1025" spans="1:15">
      <c r="A1025" s="14"/>
      <c r="B1025" s="15"/>
      <c r="C1025" s="16"/>
      <c r="D1025" s="14"/>
      <c r="E1025" s="17"/>
      <c r="F1025" s="17"/>
      <c r="G1025" s="17"/>
      <c r="H1025" s="17"/>
      <c r="I1025" s="17"/>
      <c r="J1025" s="18"/>
      <c r="K1025" s="19"/>
      <c r="L1025" s="17"/>
      <c r="M1025" s="14"/>
      <c r="N1025" s="17"/>
      <c r="O1025" s="17"/>
    </row>
    <row r="1026" spans="1:15">
      <c r="A1026" s="14"/>
      <c r="B1026" s="15"/>
      <c r="C1026" s="16"/>
      <c r="D1026" s="14"/>
      <c r="E1026" s="17"/>
      <c r="F1026" s="17"/>
      <c r="G1026" s="17"/>
      <c r="H1026" s="17"/>
      <c r="I1026" s="17"/>
      <c r="J1026" s="18"/>
      <c r="K1026" s="19"/>
      <c r="L1026" s="17"/>
      <c r="M1026" s="14"/>
      <c r="N1026" s="17"/>
      <c r="O1026" s="17"/>
    </row>
    <row r="1027" spans="1:15">
      <c r="A1027" s="14"/>
      <c r="B1027" s="15"/>
      <c r="C1027" s="16"/>
      <c r="D1027" s="14"/>
      <c r="E1027" s="17"/>
      <c r="F1027" s="17"/>
      <c r="G1027" s="17"/>
      <c r="H1027" s="17"/>
      <c r="I1027" s="17"/>
      <c r="J1027" s="18"/>
      <c r="K1027" s="19"/>
      <c r="L1027" s="17"/>
      <c r="M1027" s="14"/>
      <c r="N1027" s="17"/>
      <c r="O1027" s="17"/>
    </row>
    <row r="1028" spans="1:15">
      <c r="A1028" s="14"/>
      <c r="B1028" s="15"/>
      <c r="C1028" s="16"/>
      <c r="D1028" s="14"/>
      <c r="E1028" s="17"/>
      <c r="F1028" s="17"/>
      <c r="G1028" s="17"/>
      <c r="H1028" s="17"/>
      <c r="I1028" s="17"/>
      <c r="J1028" s="18"/>
      <c r="K1028" s="19"/>
      <c r="L1028" s="17"/>
      <c r="M1028" s="14"/>
      <c r="N1028" s="17"/>
      <c r="O1028" s="17"/>
    </row>
    <row r="1029" spans="1:15">
      <c r="A1029" s="14"/>
      <c r="B1029" s="15"/>
      <c r="C1029" s="16"/>
      <c r="D1029" s="14"/>
      <c r="E1029" s="17"/>
      <c r="F1029" s="17"/>
      <c r="G1029" s="17"/>
      <c r="H1029" s="17"/>
      <c r="I1029" s="17"/>
      <c r="J1029" s="18"/>
      <c r="K1029" s="19"/>
      <c r="L1029" s="17"/>
      <c r="M1029" s="14"/>
      <c r="N1029" s="17"/>
      <c r="O1029" s="17"/>
    </row>
    <row r="1030" spans="1:15">
      <c r="A1030" s="14"/>
      <c r="B1030" s="15"/>
      <c r="C1030" s="16"/>
      <c r="D1030" s="14"/>
      <c r="E1030" s="17"/>
      <c r="F1030" s="17"/>
      <c r="G1030" s="17"/>
      <c r="H1030" s="17"/>
      <c r="I1030" s="17"/>
      <c r="J1030" s="18"/>
      <c r="K1030" s="19"/>
      <c r="L1030" s="17"/>
      <c r="M1030" s="14"/>
      <c r="N1030" s="17"/>
      <c r="O1030" s="17"/>
    </row>
    <row r="1031" spans="1:15">
      <c r="A1031" s="14"/>
      <c r="B1031" s="15"/>
      <c r="C1031" s="16"/>
      <c r="D1031" s="14"/>
      <c r="E1031" s="17"/>
      <c r="F1031" s="17"/>
      <c r="G1031" s="17"/>
      <c r="H1031" s="17"/>
      <c r="I1031" s="17"/>
      <c r="J1031" s="18"/>
      <c r="K1031" s="19"/>
      <c r="L1031" s="17"/>
      <c r="M1031" s="14"/>
      <c r="N1031" s="17"/>
      <c r="O1031" s="17"/>
    </row>
    <row r="1032" spans="1:15">
      <c r="A1032" s="14"/>
      <c r="B1032" s="15"/>
      <c r="C1032" s="16"/>
      <c r="D1032" s="14"/>
      <c r="E1032" s="17"/>
      <c r="F1032" s="17"/>
      <c r="G1032" s="17"/>
      <c r="H1032" s="17"/>
      <c r="I1032" s="17"/>
      <c r="J1032" s="18"/>
      <c r="K1032" s="19"/>
      <c r="L1032" s="17"/>
      <c r="M1032" s="14"/>
      <c r="N1032" s="17"/>
      <c r="O1032" s="17"/>
    </row>
    <row r="1033" spans="1:15">
      <c r="A1033" s="14"/>
      <c r="B1033" s="15"/>
      <c r="C1033" s="16"/>
      <c r="D1033" s="14"/>
      <c r="E1033" s="17"/>
      <c r="F1033" s="17"/>
      <c r="G1033" s="17"/>
      <c r="H1033" s="17"/>
      <c r="I1033" s="17"/>
      <c r="J1033" s="18"/>
      <c r="K1033" s="19"/>
      <c r="L1033" s="17"/>
      <c r="M1033" s="14"/>
      <c r="N1033" s="17"/>
      <c r="O1033" s="17"/>
    </row>
    <row r="1034" spans="1:15">
      <c r="A1034" s="14"/>
      <c r="B1034" s="15"/>
      <c r="C1034" s="16"/>
      <c r="D1034" s="14"/>
      <c r="E1034" s="17"/>
      <c r="F1034" s="17"/>
      <c r="G1034" s="17"/>
      <c r="H1034" s="17"/>
      <c r="I1034" s="17"/>
      <c r="J1034" s="18"/>
      <c r="K1034" s="19"/>
      <c r="L1034" s="17"/>
      <c r="M1034" s="14"/>
      <c r="N1034" s="17"/>
      <c r="O1034" s="17"/>
    </row>
    <row r="1035" spans="1:15">
      <c r="A1035" s="14"/>
      <c r="B1035" s="15"/>
      <c r="C1035" s="16"/>
      <c r="D1035" s="14"/>
      <c r="E1035" s="17"/>
      <c r="F1035" s="17"/>
      <c r="G1035" s="17"/>
      <c r="H1035" s="17"/>
      <c r="I1035" s="17"/>
      <c r="J1035" s="18"/>
      <c r="K1035" s="19"/>
      <c r="L1035" s="17"/>
      <c r="M1035" s="14"/>
      <c r="N1035" s="17"/>
      <c r="O1035" s="17"/>
    </row>
    <row r="1036" spans="1:15">
      <c r="A1036" s="14"/>
      <c r="B1036" s="15"/>
      <c r="C1036" s="16"/>
      <c r="D1036" s="14"/>
      <c r="E1036" s="17"/>
      <c r="F1036" s="17"/>
      <c r="G1036" s="17"/>
      <c r="H1036" s="17"/>
      <c r="I1036" s="17"/>
      <c r="J1036" s="18"/>
      <c r="K1036" s="19"/>
      <c r="L1036" s="17"/>
      <c r="M1036" s="14"/>
      <c r="N1036" s="17"/>
      <c r="O1036" s="17"/>
    </row>
    <row r="1037" spans="1:15">
      <c r="A1037" s="14"/>
      <c r="B1037" s="15"/>
      <c r="C1037" s="16"/>
      <c r="D1037" s="14"/>
      <c r="E1037" s="17"/>
      <c r="F1037" s="17"/>
      <c r="G1037" s="17"/>
      <c r="H1037" s="17"/>
      <c r="I1037" s="17"/>
      <c r="J1037" s="18"/>
      <c r="K1037" s="19"/>
      <c r="L1037" s="17"/>
      <c r="M1037" s="14"/>
      <c r="N1037" s="17"/>
      <c r="O1037" s="17"/>
    </row>
    <row r="1038" spans="1:15">
      <c r="A1038" s="14"/>
      <c r="B1038" s="15"/>
      <c r="C1038" s="16"/>
      <c r="D1038" s="14"/>
      <c r="E1038" s="17"/>
      <c r="F1038" s="17"/>
      <c r="G1038" s="17"/>
      <c r="H1038" s="17"/>
      <c r="I1038" s="17"/>
      <c r="J1038" s="18"/>
      <c r="K1038" s="19"/>
      <c r="L1038" s="17"/>
      <c r="M1038" s="14"/>
      <c r="N1038" s="17"/>
      <c r="O1038" s="17"/>
    </row>
    <row r="1039" spans="1:15">
      <c r="A1039" s="14"/>
      <c r="B1039" s="15"/>
      <c r="C1039" s="16"/>
      <c r="D1039" s="14"/>
      <c r="E1039" s="17"/>
      <c r="F1039" s="17"/>
      <c r="G1039" s="17"/>
      <c r="H1039" s="17"/>
      <c r="I1039" s="17"/>
      <c r="J1039" s="18"/>
      <c r="K1039" s="19"/>
      <c r="L1039" s="17"/>
      <c r="M1039" s="14"/>
      <c r="N1039" s="17"/>
      <c r="O1039" s="17"/>
    </row>
    <row r="1040" spans="1:15">
      <c r="A1040" s="14"/>
      <c r="B1040" s="15"/>
      <c r="C1040" s="16"/>
      <c r="D1040" s="14"/>
      <c r="E1040" s="17"/>
      <c r="F1040" s="17"/>
      <c r="G1040" s="17"/>
      <c r="H1040" s="17"/>
      <c r="I1040" s="17"/>
      <c r="J1040" s="18"/>
      <c r="K1040" s="19"/>
      <c r="L1040" s="17"/>
      <c r="M1040" s="14"/>
      <c r="N1040" s="17"/>
      <c r="O1040" s="17"/>
    </row>
    <row r="1041" spans="1:15">
      <c r="A1041" s="14"/>
      <c r="B1041" s="15"/>
      <c r="C1041" s="16"/>
      <c r="D1041" s="14"/>
      <c r="E1041" s="17"/>
      <c r="F1041" s="17"/>
      <c r="G1041" s="17"/>
      <c r="H1041" s="17"/>
      <c r="I1041" s="17"/>
      <c r="J1041" s="18"/>
      <c r="K1041" s="19"/>
      <c r="L1041" s="17"/>
      <c r="M1041" s="14"/>
      <c r="N1041" s="17"/>
      <c r="O1041" s="17"/>
    </row>
    <row r="1042" spans="1:15">
      <c r="A1042" s="14"/>
      <c r="B1042" s="15"/>
      <c r="C1042" s="16"/>
      <c r="D1042" s="14"/>
      <c r="E1042" s="17"/>
      <c r="F1042" s="17"/>
      <c r="G1042" s="17"/>
      <c r="H1042" s="17"/>
      <c r="I1042" s="17"/>
      <c r="J1042" s="18"/>
      <c r="K1042" s="19"/>
      <c r="L1042" s="17"/>
      <c r="M1042" s="14"/>
      <c r="N1042" s="17"/>
      <c r="O1042" s="17"/>
    </row>
    <row r="1043" spans="1:15">
      <c r="A1043" s="14"/>
      <c r="B1043" s="15"/>
      <c r="C1043" s="16"/>
      <c r="D1043" s="14"/>
      <c r="E1043" s="17"/>
      <c r="F1043" s="17"/>
      <c r="G1043" s="17"/>
      <c r="H1043" s="17"/>
      <c r="I1043" s="17"/>
      <c r="J1043" s="18"/>
      <c r="K1043" s="19"/>
      <c r="L1043" s="17"/>
      <c r="M1043" s="14"/>
      <c r="N1043" s="17"/>
      <c r="O1043" s="17"/>
    </row>
    <row r="1044" spans="1:15">
      <c r="A1044" s="14"/>
      <c r="B1044" s="15"/>
      <c r="C1044" s="16"/>
      <c r="D1044" s="14"/>
      <c r="E1044" s="17"/>
      <c r="F1044" s="17"/>
      <c r="G1044" s="17"/>
      <c r="H1044" s="17"/>
      <c r="I1044" s="17"/>
      <c r="J1044" s="18"/>
      <c r="K1044" s="19"/>
      <c r="L1044" s="17"/>
      <c r="M1044" s="14"/>
      <c r="N1044" s="17"/>
      <c r="O1044" s="17"/>
    </row>
    <row r="1045" spans="1:15">
      <c r="A1045" s="14"/>
      <c r="B1045" s="15"/>
      <c r="C1045" s="16"/>
      <c r="D1045" s="14"/>
      <c r="E1045" s="17"/>
      <c r="F1045" s="17"/>
      <c r="G1045" s="17"/>
      <c r="H1045" s="17"/>
      <c r="I1045" s="17"/>
      <c r="J1045" s="18"/>
      <c r="K1045" s="19"/>
      <c r="L1045" s="17"/>
      <c r="M1045" s="14"/>
      <c r="N1045" s="17"/>
      <c r="O1045" s="17"/>
    </row>
    <row r="1046" spans="1:15">
      <c r="A1046" s="14"/>
      <c r="B1046" s="15"/>
      <c r="C1046" s="16"/>
      <c r="D1046" s="14"/>
      <c r="E1046" s="17"/>
      <c r="F1046" s="17"/>
      <c r="G1046" s="17"/>
      <c r="H1046" s="17"/>
      <c r="I1046" s="17"/>
      <c r="J1046" s="18"/>
      <c r="K1046" s="19"/>
      <c r="L1046" s="17"/>
      <c r="M1046" s="14"/>
      <c r="N1046" s="17"/>
      <c r="O1046" s="17"/>
    </row>
    <row r="1047" spans="1:15">
      <c r="A1047" s="14"/>
      <c r="B1047" s="15"/>
      <c r="C1047" s="16"/>
      <c r="D1047" s="14"/>
      <c r="E1047" s="17"/>
      <c r="F1047" s="17"/>
      <c r="G1047" s="17"/>
      <c r="H1047" s="17"/>
      <c r="I1047" s="17"/>
      <c r="J1047" s="18"/>
      <c r="K1047" s="19"/>
      <c r="L1047" s="17"/>
      <c r="M1047" s="14"/>
      <c r="N1047" s="17"/>
      <c r="O1047" s="17"/>
    </row>
    <row r="1048" spans="1:15">
      <c r="A1048" s="14"/>
      <c r="B1048" s="15"/>
      <c r="C1048" s="16"/>
      <c r="D1048" s="14"/>
      <c r="E1048" s="17"/>
      <c r="F1048" s="17"/>
      <c r="G1048" s="17"/>
      <c r="H1048" s="17"/>
      <c r="I1048" s="17"/>
      <c r="J1048" s="18"/>
      <c r="K1048" s="19"/>
      <c r="L1048" s="17"/>
      <c r="M1048" s="14"/>
      <c r="N1048" s="17"/>
      <c r="O1048" s="17"/>
    </row>
    <row r="1049" spans="1:15">
      <c r="A1049" s="14"/>
      <c r="B1049" s="15"/>
      <c r="C1049" s="16"/>
      <c r="D1049" s="14"/>
      <c r="E1049" s="17"/>
      <c r="F1049" s="17"/>
      <c r="G1049" s="17"/>
      <c r="H1049" s="17"/>
      <c r="I1049" s="17"/>
      <c r="J1049" s="18"/>
      <c r="K1049" s="19"/>
      <c r="L1049" s="17"/>
      <c r="M1049" s="14"/>
      <c r="N1049" s="17"/>
      <c r="O1049" s="17"/>
    </row>
    <row r="1050" spans="1:15">
      <c r="A1050" s="14"/>
      <c r="B1050" s="15"/>
      <c r="C1050" s="16"/>
      <c r="D1050" s="14"/>
      <c r="E1050" s="17"/>
      <c r="F1050" s="17"/>
      <c r="G1050" s="17"/>
      <c r="H1050" s="17"/>
      <c r="I1050" s="17"/>
      <c r="J1050" s="18"/>
      <c r="K1050" s="19"/>
      <c r="L1050" s="17"/>
      <c r="M1050" s="14"/>
      <c r="N1050" s="17"/>
      <c r="O1050" s="17"/>
    </row>
    <row r="1051" spans="1:15">
      <c r="A1051" s="14"/>
      <c r="B1051" s="15"/>
      <c r="C1051" s="16"/>
      <c r="D1051" s="14"/>
      <c r="E1051" s="17"/>
      <c r="F1051" s="17"/>
      <c r="G1051" s="17"/>
      <c r="H1051" s="17"/>
      <c r="I1051" s="17"/>
      <c r="J1051" s="18"/>
      <c r="K1051" s="19"/>
      <c r="L1051" s="17"/>
      <c r="M1051" s="14"/>
      <c r="N1051" s="17"/>
      <c r="O1051" s="17"/>
    </row>
    <row r="1052" spans="1:15">
      <c r="A1052" s="14"/>
      <c r="B1052" s="15"/>
      <c r="C1052" s="16"/>
      <c r="D1052" s="14"/>
      <c r="E1052" s="17"/>
      <c r="F1052" s="17"/>
      <c r="G1052" s="17"/>
      <c r="H1052" s="17"/>
      <c r="I1052" s="17"/>
      <c r="J1052" s="18"/>
      <c r="K1052" s="19"/>
      <c r="L1052" s="17"/>
      <c r="M1052" s="14"/>
      <c r="N1052" s="17"/>
      <c r="O1052" s="17"/>
    </row>
    <row r="1053" spans="1:15">
      <c r="A1053" s="14"/>
      <c r="B1053" s="15"/>
      <c r="C1053" s="16"/>
      <c r="D1053" s="14"/>
      <c r="E1053" s="17"/>
      <c r="F1053" s="17"/>
      <c r="G1053" s="17"/>
      <c r="H1053" s="17"/>
      <c r="I1053" s="17"/>
      <c r="J1053" s="18"/>
      <c r="K1053" s="19"/>
      <c r="L1053" s="17"/>
      <c r="M1053" s="14"/>
      <c r="N1053" s="17"/>
      <c r="O1053" s="17"/>
    </row>
    <row r="1054" spans="1:15">
      <c r="A1054" s="14"/>
      <c r="B1054" s="15"/>
      <c r="C1054" s="16"/>
      <c r="D1054" s="14"/>
      <c r="E1054" s="17"/>
      <c r="F1054" s="17"/>
      <c r="G1054" s="17"/>
      <c r="H1054" s="17"/>
      <c r="I1054" s="17"/>
      <c r="J1054" s="18"/>
      <c r="K1054" s="19"/>
      <c r="L1054" s="17"/>
      <c r="M1054" s="14"/>
      <c r="N1054" s="17"/>
      <c r="O1054" s="17"/>
    </row>
    <row r="1055" spans="1:15">
      <c r="A1055" s="14"/>
      <c r="B1055" s="15"/>
      <c r="C1055" s="16"/>
      <c r="D1055" s="14"/>
      <c r="E1055" s="17"/>
      <c r="F1055" s="17"/>
      <c r="G1055" s="17"/>
      <c r="H1055" s="17"/>
      <c r="I1055" s="17"/>
      <c r="J1055" s="18"/>
      <c r="K1055" s="19"/>
      <c r="L1055" s="17"/>
      <c r="M1055" s="14"/>
      <c r="N1055" s="17"/>
      <c r="O1055" s="17"/>
    </row>
    <row r="1056" spans="1:15">
      <c r="A1056" s="14"/>
      <c r="B1056" s="15"/>
      <c r="C1056" s="16"/>
      <c r="D1056" s="14"/>
      <c r="E1056" s="17"/>
      <c r="F1056" s="17"/>
      <c r="G1056" s="17"/>
      <c r="H1056" s="17"/>
      <c r="I1056" s="17"/>
      <c r="J1056" s="18"/>
      <c r="K1056" s="19"/>
      <c r="L1056" s="17"/>
      <c r="M1056" s="14"/>
      <c r="N1056" s="17"/>
      <c r="O1056" s="17"/>
    </row>
    <row r="1057" spans="1:15">
      <c r="A1057" s="14"/>
      <c r="B1057" s="15"/>
      <c r="C1057" s="16"/>
      <c r="D1057" s="14"/>
      <c r="E1057" s="17"/>
      <c r="F1057" s="17"/>
      <c r="G1057" s="17"/>
      <c r="H1057" s="17"/>
      <c r="I1057" s="17"/>
      <c r="J1057" s="18"/>
      <c r="K1057" s="19"/>
      <c r="L1057" s="17"/>
      <c r="M1057" s="14"/>
      <c r="N1057" s="17"/>
      <c r="O1057" s="17"/>
    </row>
    <row r="1058" spans="1:15">
      <c r="A1058" s="14"/>
      <c r="B1058" s="15"/>
      <c r="C1058" s="16"/>
      <c r="D1058" s="14"/>
      <c r="E1058" s="17"/>
      <c r="F1058" s="17"/>
      <c r="G1058" s="17"/>
      <c r="H1058" s="17"/>
      <c r="I1058" s="17"/>
      <c r="J1058" s="18"/>
      <c r="K1058" s="19"/>
      <c r="L1058" s="17"/>
      <c r="M1058" s="14"/>
      <c r="N1058" s="17"/>
      <c r="O1058" s="17"/>
    </row>
    <row r="1059" spans="1:15">
      <c r="A1059" s="14"/>
      <c r="B1059" s="15"/>
      <c r="C1059" s="16"/>
      <c r="D1059" s="14"/>
      <c r="E1059" s="17"/>
      <c r="F1059" s="17"/>
      <c r="G1059" s="17"/>
      <c r="H1059" s="17"/>
      <c r="I1059" s="17"/>
      <c r="J1059" s="18"/>
      <c r="K1059" s="19"/>
      <c r="L1059" s="17"/>
      <c r="M1059" s="14"/>
      <c r="N1059" s="17"/>
      <c r="O1059" s="17"/>
    </row>
    <row r="1060" spans="1:15">
      <c r="A1060" s="14"/>
      <c r="B1060" s="15"/>
      <c r="C1060" s="16"/>
      <c r="D1060" s="14"/>
      <c r="E1060" s="17"/>
      <c r="F1060" s="17"/>
      <c r="G1060" s="17"/>
      <c r="H1060" s="17"/>
      <c r="I1060" s="17"/>
      <c r="J1060" s="18"/>
      <c r="K1060" s="19"/>
      <c r="L1060" s="17"/>
      <c r="M1060" s="14"/>
      <c r="N1060" s="17"/>
      <c r="O1060" s="17"/>
    </row>
    <row r="1061" spans="1:15">
      <c r="A1061" s="14"/>
      <c r="B1061" s="15"/>
      <c r="C1061" s="16"/>
      <c r="D1061" s="14"/>
      <c r="E1061" s="17"/>
      <c r="F1061" s="17"/>
      <c r="G1061" s="17"/>
      <c r="H1061" s="17"/>
      <c r="I1061" s="17"/>
      <c r="J1061" s="18"/>
      <c r="K1061" s="19"/>
      <c r="L1061" s="17"/>
      <c r="M1061" s="14"/>
      <c r="N1061" s="17"/>
      <c r="O1061" s="17"/>
    </row>
    <row r="1062" spans="1:15">
      <c r="A1062" s="14"/>
      <c r="B1062" s="15"/>
      <c r="C1062" s="16"/>
      <c r="D1062" s="14"/>
      <c r="E1062" s="17"/>
      <c r="F1062" s="17"/>
      <c r="G1062" s="17"/>
      <c r="H1062" s="17"/>
      <c r="I1062" s="17"/>
      <c r="J1062" s="18"/>
      <c r="K1062" s="19"/>
      <c r="L1062" s="17"/>
      <c r="M1062" s="14"/>
      <c r="N1062" s="17"/>
      <c r="O1062" s="17"/>
    </row>
    <row r="1063" spans="1:15">
      <c r="A1063" s="14"/>
      <c r="B1063" s="15"/>
      <c r="C1063" s="16"/>
      <c r="D1063" s="14"/>
      <c r="E1063" s="17"/>
      <c r="F1063" s="17"/>
      <c r="G1063" s="17"/>
      <c r="H1063" s="17"/>
      <c r="I1063" s="17"/>
      <c r="J1063" s="18"/>
      <c r="K1063" s="19"/>
      <c r="L1063" s="17"/>
      <c r="M1063" s="14"/>
      <c r="N1063" s="17"/>
      <c r="O1063" s="17"/>
    </row>
    <row r="1064" spans="1:15">
      <c r="A1064" s="14"/>
      <c r="B1064" s="15"/>
      <c r="C1064" s="16"/>
      <c r="D1064" s="14"/>
      <c r="E1064" s="17"/>
      <c r="F1064" s="17"/>
      <c r="G1064" s="17"/>
      <c r="H1064" s="17"/>
      <c r="I1064" s="17"/>
      <c r="J1064" s="18"/>
      <c r="K1064" s="19"/>
      <c r="L1064" s="17"/>
      <c r="M1064" s="14"/>
      <c r="N1064" s="17"/>
      <c r="O1064" s="17"/>
    </row>
    <row r="1065" spans="1:15">
      <c r="A1065" s="14"/>
      <c r="B1065" s="15"/>
      <c r="C1065" s="16"/>
      <c r="D1065" s="14"/>
      <c r="E1065" s="17"/>
      <c r="F1065" s="17"/>
      <c r="G1065" s="17"/>
      <c r="H1065" s="17"/>
      <c r="I1065" s="17"/>
      <c r="J1065" s="18"/>
      <c r="K1065" s="19"/>
      <c r="L1065" s="17"/>
      <c r="M1065" s="14"/>
      <c r="N1065" s="17"/>
      <c r="O1065" s="17"/>
    </row>
    <row r="1066" spans="1:15">
      <c r="A1066" s="14"/>
      <c r="B1066" s="15"/>
      <c r="C1066" s="16"/>
      <c r="D1066" s="14"/>
      <c r="E1066" s="17"/>
      <c r="F1066" s="17"/>
      <c r="G1066" s="17"/>
      <c r="H1066" s="17"/>
      <c r="I1066" s="17"/>
      <c r="J1066" s="18"/>
      <c r="K1066" s="19"/>
      <c r="L1066" s="17"/>
      <c r="M1066" s="14"/>
      <c r="N1066" s="17"/>
      <c r="O1066" s="17"/>
    </row>
    <row r="1067" spans="1:15">
      <c r="A1067" s="14"/>
      <c r="B1067" s="15"/>
      <c r="C1067" s="16"/>
      <c r="D1067" s="14"/>
      <c r="E1067" s="17"/>
      <c r="F1067" s="17"/>
      <c r="G1067" s="17"/>
      <c r="H1067" s="17"/>
      <c r="I1067" s="17"/>
      <c r="J1067" s="18"/>
      <c r="K1067" s="19"/>
      <c r="L1067" s="17"/>
      <c r="M1067" s="14"/>
      <c r="N1067" s="17"/>
      <c r="O1067" s="17"/>
    </row>
    <row r="1068" spans="1:15">
      <c r="A1068" s="14"/>
      <c r="B1068" s="15"/>
      <c r="C1068" s="16"/>
      <c r="D1068" s="14"/>
      <c r="E1068" s="17"/>
      <c r="F1068" s="17"/>
      <c r="G1068" s="17"/>
      <c r="H1068" s="17"/>
      <c r="I1068" s="17"/>
      <c r="J1068" s="18"/>
      <c r="K1068" s="19"/>
      <c r="L1068" s="17"/>
      <c r="M1068" s="14"/>
      <c r="N1068" s="17"/>
      <c r="O1068" s="17"/>
    </row>
    <row r="1069" spans="1:15">
      <c r="A1069" s="14"/>
      <c r="B1069" s="15"/>
      <c r="C1069" s="16"/>
      <c r="D1069" s="14"/>
      <c r="E1069" s="17"/>
      <c r="F1069" s="17"/>
      <c r="G1069" s="17"/>
      <c r="H1069" s="17"/>
      <c r="I1069" s="17"/>
      <c r="J1069" s="18"/>
      <c r="K1069" s="19"/>
      <c r="L1069" s="17"/>
      <c r="M1069" s="14"/>
      <c r="N1069" s="17"/>
      <c r="O1069" s="17"/>
    </row>
    <row r="1070" spans="1:15">
      <c r="A1070" s="14"/>
      <c r="B1070" s="15"/>
      <c r="C1070" s="16"/>
      <c r="D1070" s="14"/>
      <c r="E1070" s="17"/>
      <c r="F1070" s="17"/>
      <c r="G1070" s="17"/>
      <c r="H1070" s="17"/>
      <c r="I1070" s="17"/>
      <c r="J1070" s="18"/>
      <c r="K1070" s="19"/>
      <c r="L1070" s="17"/>
      <c r="M1070" s="14"/>
      <c r="N1070" s="17"/>
      <c r="O1070" s="17"/>
    </row>
    <row r="1071" spans="1:15">
      <c r="A1071" s="14"/>
      <c r="B1071" s="15"/>
      <c r="C1071" s="16"/>
      <c r="D1071" s="14"/>
      <c r="E1071" s="17"/>
      <c r="F1071" s="17"/>
      <c r="G1071" s="17"/>
      <c r="H1071" s="17"/>
      <c r="I1071" s="17"/>
      <c r="J1071" s="18"/>
      <c r="K1071" s="19"/>
      <c r="L1071" s="17"/>
      <c r="M1071" s="14"/>
      <c r="N1071" s="17"/>
      <c r="O1071" s="17"/>
    </row>
    <row r="1072" spans="1:15">
      <c r="A1072" s="14"/>
      <c r="B1072" s="15"/>
      <c r="C1072" s="16"/>
      <c r="D1072" s="14"/>
      <c r="E1072" s="17"/>
      <c r="F1072" s="17"/>
      <c r="G1072" s="17"/>
      <c r="H1072" s="17"/>
      <c r="I1072" s="17"/>
      <c r="J1072" s="18"/>
      <c r="K1072" s="19"/>
      <c r="L1072" s="17"/>
      <c r="M1072" s="14"/>
      <c r="N1072" s="17"/>
      <c r="O1072" s="17"/>
    </row>
    <row r="1073" spans="1:15">
      <c r="A1073" s="14"/>
      <c r="B1073" s="15"/>
      <c r="C1073" s="16"/>
      <c r="D1073" s="14"/>
      <c r="E1073" s="17"/>
      <c r="F1073" s="17"/>
      <c r="G1073" s="17"/>
      <c r="H1073" s="17"/>
      <c r="I1073" s="17"/>
      <c r="J1073" s="18"/>
      <c r="K1073" s="19"/>
      <c r="L1073" s="17"/>
      <c r="M1073" s="14"/>
      <c r="N1073" s="17"/>
      <c r="O1073" s="17"/>
    </row>
    <row r="1074" spans="1:15">
      <c r="A1074" s="14"/>
      <c r="B1074" s="15"/>
      <c r="C1074" s="16"/>
      <c r="D1074" s="14"/>
      <c r="E1074" s="17"/>
      <c r="F1074" s="17"/>
      <c r="G1074" s="17"/>
      <c r="H1074" s="17"/>
      <c r="I1074" s="17"/>
      <c r="J1074" s="18"/>
      <c r="K1074" s="19"/>
      <c r="L1074" s="17"/>
      <c r="M1074" s="14"/>
      <c r="N1074" s="17"/>
      <c r="O1074" s="17"/>
    </row>
    <row r="1075" spans="1:15">
      <c r="A1075" s="14"/>
      <c r="B1075" s="15"/>
      <c r="C1075" s="16"/>
      <c r="D1075" s="14"/>
      <c r="E1075" s="17"/>
      <c r="F1075" s="17"/>
      <c r="G1075" s="17"/>
      <c r="H1075" s="17"/>
      <c r="I1075" s="17"/>
      <c r="J1075" s="18"/>
      <c r="K1075" s="19"/>
      <c r="L1075" s="17"/>
      <c r="M1075" s="14"/>
      <c r="N1075" s="17"/>
      <c r="O1075" s="17"/>
    </row>
    <row r="1076" spans="1:15">
      <c r="A1076" s="14"/>
      <c r="B1076" s="15"/>
      <c r="C1076" s="16"/>
      <c r="D1076" s="14"/>
      <c r="E1076" s="17"/>
      <c r="F1076" s="17"/>
      <c r="G1076" s="17"/>
      <c r="H1076" s="17"/>
      <c r="I1076" s="17"/>
      <c r="J1076" s="18"/>
      <c r="K1076" s="19"/>
      <c r="L1076" s="17"/>
      <c r="M1076" s="14"/>
      <c r="N1076" s="17"/>
      <c r="O1076" s="17"/>
    </row>
    <row r="1077" spans="1:15">
      <c r="A1077" s="14"/>
      <c r="B1077" s="15"/>
      <c r="C1077" s="16"/>
      <c r="D1077" s="14"/>
      <c r="E1077" s="17"/>
      <c r="F1077" s="17"/>
      <c r="G1077" s="17"/>
      <c r="H1077" s="17"/>
      <c r="I1077" s="17"/>
      <c r="J1077" s="18"/>
      <c r="K1077" s="19"/>
      <c r="L1077" s="17"/>
      <c r="M1077" s="14"/>
      <c r="N1077" s="17"/>
      <c r="O1077" s="17"/>
    </row>
    <row r="1078" spans="1:15">
      <c r="A1078" s="14"/>
      <c r="B1078" s="15"/>
      <c r="C1078" s="16"/>
      <c r="D1078" s="14"/>
      <c r="E1078" s="17"/>
      <c r="F1078" s="17"/>
      <c r="G1078" s="17"/>
      <c r="H1078" s="17"/>
      <c r="I1078" s="17"/>
      <c r="J1078" s="18"/>
      <c r="K1078" s="19"/>
      <c r="L1078" s="17"/>
      <c r="M1078" s="14"/>
      <c r="N1078" s="17"/>
      <c r="O1078" s="17"/>
    </row>
    <row r="1079" spans="1:15">
      <c r="A1079" s="14"/>
      <c r="B1079" s="15"/>
      <c r="C1079" s="16"/>
      <c r="D1079" s="14"/>
      <c r="E1079" s="17"/>
      <c r="F1079" s="17"/>
      <c r="G1079" s="17"/>
      <c r="H1079" s="17"/>
      <c r="I1079" s="17"/>
      <c r="J1079" s="18"/>
      <c r="K1079" s="19"/>
      <c r="L1079" s="17"/>
      <c r="M1079" s="14"/>
      <c r="N1079" s="17"/>
      <c r="O1079" s="17"/>
    </row>
    <row r="1080" spans="1:15">
      <c r="A1080" s="14"/>
      <c r="B1080" s="15"/>
      <c r="C1080" s="16"/>
      <c r="D1080" s="14"/>
      <c r="E1080" s="17"/>
      <c r="F1080" s="17"/>
      <c r="G1080" s="17"/>
      <c r="H1080" s="17"/>
      <c r="I1080" s="17"/>
      <c r="J1080" s="18"/>
      <c r="K1080" s="19"/>
      <c r="L1080" s="17"/>
      <c r="M1080" s="14"/>
      <c r="N1080" s="17"/>
      <c r="O1080" s="17"/>
    </row>
    <row r="1081" spans="1:15">
      <c r="A1081" s="14"/>
      <c r="B1081" s="15"/>
      <c r="C1081" s="16"/>
      <c r="D1081" s="14"/>
      <c r="E1081" s="17"/>
      <c r="F1081" s="17"/>
      <c r="G1081" s="17"/>
      <c r="H1081" s="17"/>
      <c r="I1081" s="17"/>
      <c r="J1081" s="18"/>
      <c r="K1081" s="19"/>
      <c r="L1081" s="17"/>
      <c r="M1081" s="14"/>
      <c r="N1081" s="17"/>
      <c r="O1081" s="17"/>
    </row>
    <row r="1082" spans="1:15">
      <c r="A1082" s="14"/>
      <c r="B1082" s="15"/>
      <c r="C1082" s="16"/>
      <c r="D1082" s="14"/>
      <c r="E1082" s="17"/>
      <c r="F1082" s="17"/>
      <c r="G1082" s="17"/>
      <c r="H1082" s="17"/>
      <c r="I1082" s="17"/>
      <c r="J1082" s="18"/>
      <c r="K1082" s="19"/>
      <c r="L1082" s="17"/>
      <c r="M1082" s="14"/>
      <c r="N1082" s="17"/>
      <c r="O1082" s="17"/>
    </row>
    <row r="1083" spans="1:15">
      <c r="A1083" s="14"/>
      <c r="B1083" s="15"/>
      <c r="C1083" s="16"/>
      <c r="D1083" s="14"/>
      <c r="E1083" s="17"/>
      <c r="F1083" s="17"/>
      <c r="G1083" s="17"/>
      <c r="H1083" s="17"/>
      <c r="I1083" s="17"/>
      <c r="J1083" s="18"/>
      <c r="K1083" s="19"/>
      <c r="L1083" s="17"/>
      <c r="M1083" s="14"/>
      <c r="N1083" s="17"/>
      <c r="O1083" s="17"/>
    </row>
    <row r="1084" spans="1:15">
      <c r="A1084" s="14"/>
      <c r="B1084" s="15"/>
      <c r="C1084" s="16"/>
      <c r="D1084" s="14"/>
      <c r="E1084" s="17"/>
      <c r="F1084" s="17"/>
      <c r="G1084" s="17"/>
      <c r="H1084" s="17"/>
      <c r="I1084" s="17"/>
      <c r="J1084" s="18"/>
      <c r="K1084" s="19"/>
      <c r="L1084" s="17"/>
      <c r="M1084" s="14"/>
      <c r="N1084" s="17"/>
      <c r="O1084" s="17"/>
    </row>
    <row r="1085" spans="1:15">
      <c r="A1085" s="14"/>
      <c r="B1085" s="15"/>
      <c r="C1085" s="16"/>
      <c r="D1085" s="14"/>
      <c r="E1085" s="17"/>
      <c r="F1085" s="17"/>
      <c r="G1085" s="17"/>
      <c r="H1085" s="17"/>
      <c r="I1085" s="17"/>
      <c r="J1085" s="18"/>
      <c r="K1085" s="19"/>
      <c r="L1085" s="17"/>
      <c r="M1085" s="14"/>
      <c r="N1085" s="17"/>
      <c r="O1085" s="17"/>
    </row>
    <row r="1086" spans="1:15">
      <c r="A1086" s="14"/>
      <c r="B1086" s="15"/>
      <c r="C1086" s="16"/>
      <c r="D1086" s="14"/>
      <c r="E1086" s="17"/>
      <c r="F1086" s="17"/>
      <c r="G1086" s="17"/>
      <c r="H1086" s="17"/>
      <c r="I1086" s="17"/>
      <c r="J1086" s="18"/>
      <c r="K1086" s="19"/>
      <c r="L1086" s="17"/>
      <c r="M1086" s="14"/>
      <c r="N1086" s="17"/>
      <c r="O1086" s="17"/>
    </row>
    <row r="1087" spans="1:15">
      <c r="A1087" s="14"/>
      <c r="B1087" s="15"/>
      <c r="C1087" s="16"/>
      <c r="D1087" s="14"/>
      <c r="E1087" s="17"/>
      <c r="F1087" s="17"/>
      <c r="G1087" s="17"/>
      <c r="H1087" s="17"/>
      <c r="I1087" s="17"/>
      <c r="J1087" s="18"/>
      <c r="K1087" s="19"/>
      <c r="L1087" s="17"/>
      <c r="M1087" s="14"/>
      <c r="N1087" s="17"/>
      <c r="O1087" s="17"/>
    </row>
    <row r="1088" spans="1:15">
      <c r="A1088" s="14"/>
      <c r="B1088" s="15"/>
      <c r="C1088" s="16"/>
      <c r="D1088" s="14"/>
      <c r="E1088" s="17"/>
      <c r="F1088" s="17"/>
      <c r="G1088" s="17"/>
      <c r="H1088" s="17"/>
      <c r="I1088" s="17"/>
      <c r="J1088" s="18"/>
      <c r="K1088" s="19"/>
      <c r="L1088" s="17"/>
      <c r="M1088" s="14"/>
      <c r="N1088" s="17"/>
      <c r="O1088" s="17"/>
    </row>
    <row r="1089" spans="1:15">
      <c r="A1089" s="14"/>
      <c r="B1089" s="15"/>
      <c r="C1089" s="16"/>
      <c r="D1089" s="14"/>
      <c r="E1089" s="17"/>
      <c r="F1089" s="17"/>
      <c r="G1089" s="17"/>
      <c r="H1089" s="17"/>
      <c r="I1089" s="17"/>
      <c r="J1089" s="18"/>
      <c r="K1089" s="19"/>
      <c r="L1089" s="17"/>
      <c r="M1089" s="14"/>
      <c r="N1089" s="17"/>
      <c r="O1089" s="17"/>
    </row>
    <row r="1090" spans="1:15">
      <c r="A1090" s="14"/>
      <c r="B1090" s="15"/>
      <c r="C1090" s="16"/>
      <c r="D1090" s="14"/>
      <c r="E1090" s="17"/>
      <c r="F1090" s="17"/>
      <c r="G1090" s="17"/>
      <c r="H1090" s="17"/>
      <c r="I1090" s="17"/>
      <c r="J1090" s="18"/>
      <c r="K1090" s="19"/>
      <c r="L1090" s="17"/>
      <c r="M1090" s="14"/>
      <c r="N1090" s="17"/>
      <c r="O1090" s="17"/>
    </row>
    <row r="1091" spans="1:15">
      <c r="A1091" s="14"/>
      <c r="B1091" s="15"/>
      <c r="C1091" s="16"/>
      <c r="D1091" s="14"/>
      <c r="E1091" s="17"/>
      <c r="F1091" s="17"/>
      <c r="G1091" s="17"/>
      <c r="H1091" s="17"/>
      <c r="I1091" s="17"/>
      <c r="J1091" s="18"/>
      <c r="K1091" s="19"/>
      <c r="L1091" s="17"/>
      <c r="M1091" s="14"/>
      <c r="N1091" s="17"/>
      <c r="O1091" s="17"/>
    </row>
    <row r="1092" spans="1:15">
      <c r="A1092" s="14"/>
      <c r="B1092" s="15"/>
      <c r="C1092" s="16"/>
      <c r="D1092" s="14"/>
      <c r="E1092" s="17"/>
      <c r="F1092" s="17"/>
      <c r="G1092" s="17"/>
      <c r="H1092" s="17"/>
      <c r="I1092" s="17"/>
      <c r="J1092" s="18"/>
      <c r="K1092" s="19"/>
      <c r="L1092" s="17"/>
      <c r="M1092" s="14"/>
      <c r="N1092" s="17"/>
      <c r="O1092" s="17"/>
    </row>
    <row r="1093" spans="1:15">
      <c r="A1093" s="14"/>
      <c r="B1093" s="15"/>
      <c r="C1093" s="16"/>
      <c r="D1093" s="14"/>
      <c r="E1093" s="17"/>
      <c r="F1093" s="17"/>
      <c r="G1093" s="17"/>
      <c r="H1093" s="17"/>
      <c r="I1093" s="17"/>
      <c r="J1093" s="18"/>
      <c r="K1093" s="19"/>
      <c r="L1093" s="17"/>
      <c r="M1093" s="14"/>
      <c r="N1093" s="17"/>
      <c r="O1093" s="17"/>
    </row>
    <row r="1094" spans="1:15">
      <c r="A1094" s="14"/>
      <c r="B1094" s="15"/>
      <c r="C1094" s="16"/>
      <c r="D1094" s="14"/>
      <c r="E1094" s="17"/>
      <c r="F1094" s="17"/>
      <c r="G1094" s="17"/>
      <c r="H1094" s="17"/>
      <c r="I1094" s="17"/>
      <c r="J1094" s="18"/>
      <c r="K1094" s="19"/>
      <c r="L1094" s="17"/>
      <c r="M1094" s="14"/>
      <c r="N1094" s="17"/>
      <c r="O1094" s="17"/>
    </row>
    <row r="1095" spans="1:15">
      <c r="A1095" s="14"/>
      <c r="B1095" s="15"/>
      <c r="C1095" s="16"/>
      <c r="D1095" s="14"/>
      <c r="E1095" s="17"/>
      <c r="F1095" s="17"/>
      <c r="G1095" s="17"/>
      <c r="H1095" s="17"/>
      <c r="I1095" s="17"/>
      <c r="J1095" s="18"/>
      <c r="K1095" s="19"/>
      <c r="L1095" s="17"/>
      <c r="M1095" s="14"/>
      <c r="N1095" s="17"/>
      <c r="O1095" s="17"/>
    </row>
    <row r="1096" spans="1:15">
      <c r="A1096" s="14"/>
      <c r="B1096" s="15"/>
      <c r="C1096" s="16"/>
      <c r="D1096" s="14"/>
      <c r="E1096" s="17"/>
      <c r="F1096" s="17"/>
      <c r="G1096" s="17"/>
      <c r="H1096" s="17"/>
      <c r="I1096" s="17"/>
      <c r="J1096" s="18"/>
      <c r="K1096" s="19"/>
      <c r="L1096" s="17"/>
      <c r="M1096" s="14"/>
      <c r="N1096" s="17"/>
      <c r="O1096" s="17"/>
    </row>
    <row r="1097" spans="1:15">
      <c r="A1097" s="14"/>
      <c r="B1097" s="15"/>
      <c r="C1097" s="16"/>
      <c r="D1097" s="14"/>
      <c r="E1097" s="17"/>
      <c r="F1097" s="17"/>
      <c r="G1097" s="17"/>
      <c r="H1097" s="17"/>
      <c r="I1097" s="17"/>
      <c r="J1097" s="18"/>
      <c r="K1097" s="19"/>
      <c r="L1097" s="17"/>
      <c r="M1097" s="14"/>
      <c r="N1097" s="17"/>
      <c r="O1097" s="17"/>
    </row>
    <row r="1098" spans="1:15">
      <c r="A1098" s="14"/>
      <c r="B1098" s="15"/>
      <c r="C1098" s="16"/>
      <c r="D1098" s="14"/>
      <c r="E1098" s="17"/>
      <c r="F1098" s="17"/>
      <c r="G1098" s="17"/>
      <c r="H1098" s="17"/>
      <c r="I1098" s="17"/>
      <c r="J1098" s="18"/>
      <c r="K1098" s="19"/>
      <c r="L1098" s="17"/>
      <c r="M1098" s="14"/>
      <c r="N1098" s="17"/>
      <c r="O1098" s="17"/>
    </row>
  </sheetData>
  <autoFilter ref="A1:O1098" xr:uid="{00000000-0009-0000-0000-000002000000}"/>
  <hyperlinks>
    <hyperlink ref="A2" r:id="rId1" xr:uid="{00000000-0004-0000-0200-000000000000}"/>
    <hyperlink ref="A3" r:id="rId2" xr:uid="{00000000-0004-0000-0200-000001000000}"/>
    <hyperlink ref="A4" r:id="rId3" xr:uid="{00000000-0004-0000-0200-000002000000}"/>
    <hyperlink ref="A5" r:id="rId4" xr:uid="{00000000-0004-0000-0200-000003000000}"/>
    <hyperlink ref="A6" r:id="rId5" xr:uid="{00000000-0004-0000-0200-000004000000}"/>
    <hyperlink ref="A7" r:id="rId6" xr:uid="{00000000-0004-0000-0200-000005000000}"/>
    <hyperlink ref="A8" r:id="rId7" xr:uid="{00000000-0004-0000-0200-000006000000}"/>
    <hyperlink ref="A9" r:id="rId8" xr:uid="{00000000-0004-0000-0200-000007000000}"/>
    <hyperlink ref="A10" r:id="rId9" xr:uid="{00000000-0004-0000-0200-000008000000}"/>
    <hyperlink ref="A11" r:id="rId10" xr:uid="{00000000-0004-0000-0200-000009000000}"/>
    <hyperlink ref="A12" r:id="rId11" xr:uid="{00000000-0004-0000-0200-00000A000000}"/>
    <hyperlink ref="A13" r:id="rId12" xr:uid="{00000000-0004-0000-0200-00000B000000}"/>
    <hyperlink ref="A14" r:id="rId13" xr:uid="{00000000-0004-0000-0200-00000C000000}"/>
    <hyperlink ref="D14" r:id="rId14" xr:uid="{00000000-0004-0000-0200-00000D000000}"/>
    <hyperlink ref="A15" r:id="rId15" xr:uid="{00000000-0004-0000-0200-00000E000000}"/>
    <hyperlink ref="D15" r:id="rId16" xr:uid="{00000000-0004-0000-0200-00000F000000}"/>
    <hyperlink ref="A16" r:id="rId17" xr:uid="{00000000-0004-0000-0200-000010000000}"/>
    <hyperlink ref="D16" r:id="rId18" xr:uid="{00000000-0004-0000-0200-000011000000}"/>
    <hyperlink ref="A17" r:id="rId19" xr:uid="{00000000-0004-0000-0200-000012000000}"/>
    <hyperlink ref="D17" r:id="rId20" xr:uid="{00000000-0004-0000-0200-000013000000}"/>
    <hyperlink ref="A18" r:id="rId21" xr:uid="{00000000-0004-0000-0200-000014000000}"/>
    <hyperlink ref="A19" r:id="rId22" xr:uid="{00000000-0004-0000-0200-000015000000}"/>
    <hyperlink ref="A20" r:id="rId23" xr:uid="{00000000-0004-0000-0200-000016000000}"/>
    <hyperlink ref="A21" r:id="rId24" xr:uid="{00000000-0004-0000-0200-000017000000}"/>
    <hyperlink ref="D21" r:id="rId25" xr:uid="{00000000-0004-0000-0200-000018000000}"/>
    <hyperlink ref="A22" r:id="rId26" xr:uid="{00000000-0004-0000-0200-000019000000}"/>
    <hyperlink ref="D22" r:id="rId27" xr:uid="{00000000-0004-0000-0200-00001A000000}"/>
    <hyperlink ref="A23" r:id="rId28" xr:uid="{00000000-0004-0000-0200-00001B000000}"/>
    <hyperlink ref="D23" r:id="rId29" xr:uid="{00000000-0004-0000-0200-00001C000000}"/>
    <hyperlink ref="A24" r:id="rId30" xr:uid="{00000000-0004-0000-0200-00001D000000}"/>
    <hyperlink ref="D24" r:id="rId31" xr:uid="{00000000-0004-0000-0200-00001E000000}"/>
    <hyperlink ref="A25" r:id="rId32" xr:uid="{00000000-0004-0000-0200-00001F000000}"/>
    <hyperlink ref="D25" r:id="rId33" xr:uid="{00000000-0004-0000-0200-000020000000}"/>
    <hyperlink ref="A26" r:id="rId34" xr:uid="{00000000-0004-0000-0200-000021000000}"/>
    <hyperlink ref="D26" r:id="rId35" xr:uid="{00000000-0004-0000-0200-000022000000}"/>
    <hyperlink ref="A27" r:id="rId36" xr:uid="{00000000-0004-0000-0200-000023000000}"/>
    <hyperlink ref="D27" r:id="rId37" xr:uid="{00000000-0004-0000-0200-000024000000}"/>
    <hyperlink ref="A28" r:id="rId38" xr:uid="{00000000-0004-0000-0200-000025000000}"/>
    <hyperlink ref="D28" r:id="rId39" xr:uid="{00000000-0004-0000-0200-000026000000}"/>
    <hyperlink ref="A29" r:id="rId40" xr:uid="{00000000-0004-0000-0200-000027000000}"/>
    <hyperlink ref="D29" r:id="rId41" xr:uid="{00000000-0004-0000-0200-000028000000}"/>
    <hyperlink ref="A30" r:id="rId42" xr:uid="{00000000-0004-0000-0200-000029000000}"/>
    <hyperlink ref="A31" r:id="rId43" xr:uid="{00000000-0004-0000-0200-00002A000000}"/>
    <hyperlink ref="D31" r:id="rId44" xr:uid="{00000000-0004-0000-0200-00002B000000}"/>
    <hyperlink ref="A32" r:id="rId45" xr:uid="{00000000-0004-0000-0200-00002C000000}"/>
    <hyperlink ref="A33" r:id="rId46" xr:uid="{00000000-0004-0000-0200-00002D000000}"/>
    <hyperlink ref="D33" r:id="rId47" xr:uid="{00000000-0004-0000-0200-00002E000000}"/>
    <hyperlink ref="A34" r:id="rId48" xr:uid="{00000000-0004-0000-0200-00002F000000}"/>
    <hyperlink ref="A35" r:id="rId49" xr:uid="{00000000-0004-0000-0200-000030000000}"/>
    <hyperlink ref="D35" r:id="rId50" xr:uid="{00000000-0004-0000-0200-000031000000}"/>
    <hyperlink ref="A36" r:id="rId51" xr:uid="{00000000-0004-0000-0200-000032000000}"/>
    <hyperlink ref="A37" r:id="rId52" xr:uid="{00000000-0004-0000-0200-000033000000}"/>
    <hyperlink ref="A38" r:id="rId53" xr:uid="{00000000-0004-0000-0200-000034000000}"/>
    <hyperlink ref="D38" r:id="rId54" xr:uid="{00000000-0004-0000-0200-000035000000}"/>
    <hyperlink ref="A39" r:id="rId55" xr:uid="{00000000-0004-0000-0200-000036000000}"/>
    <hyperlink ref="A40" r:id="rId56" xr:uid="{00000000-0004-0000-0200-000037000000}"/>
    <hyperlink ref="D40" r:id="rId57" xr:uid="{00000000-0004-0000-0200-000038000000}"/>
    <hyperlink ref="A41" r:id="rId58" xr:uid="{00000000-0004-0000-0200-000039000000}"/>
    <hyperlink ref="D41" r:id="rId59" xr:uid="{00000000-0004-0000-0200-00003A000000}"/>
    <hyperlink ref="A42" r:id="rId60" xr:uid="{00000000-0004-0000-0200-00003B000000}"/>
    <hyperlink ref="D42" r:id="rId61" xr:uid="{00000000-0004-0000-0200-00003C000000}"/>
    <hyperlink ref="A43" r:id="rId62" xr:uid="{00000000-0004-0000-0200-00003D000000}"/>
    <hyperlink ref="D43" r:id="rId63" xr:uid="{00000000-0004-0000-0200-00003E000000}"/>
    <hyperlink ref="A44" r:id="rId64" xr:uid="{00000000-0004-0000-0200-00003F000000}"/>
    <hyperlink ref="A45" r:id="rId65" xr:uid="{00000000-0004-0000-0200-000040000000}"/>
    <hyperlink ref="A46" r:id="rId66" xr:uid="{00000000-0004-0000-0200-000041000000}"/>
    <hyperlink ref="A47" r:id="rId67" xr:uid="{00000000-0004-0000-0200-000042000000}"/>
    <hyperlink ref="A48" r:id="rId68" xr:uid="{00000000-0004-0000-0200-000043000000}"/>
    <hyperlink ref="A49" r:id="rId69" xr:uid="{00000000-0004-0000-0200-000044000000}"/>
    <hyperlink ref="A50" r:id="rId70" xr:uid="{00000000-0004-0000-0200-000045000000}"/>
    <hyperlink ref="A51" r:id="rId71" xr:uid="{00000000-0004-0000-0200-000046000000}"/>
    <hyperlink ref="A52" r:id="rId72" xr:uid="{00000000-0004-0000-0200-000047000000}"/>
    <hyperlink ref="A53" r:id="rId73" xr:uid="{00000000-0004-0000-0200-000048000000}"/>
    <hyperlink ref="A54" r:id="rId74" xr:uid="{00000000-0004-0000-0200-000049000000}"/>
    <hyperlink ref="A55" r:id="rId75" xr:uid="{00000000-0004-0000-0200-00004A000000}"/>
    <hyperlink ref="A56" r:id="rId76" xr:uid="{00000000-0004-0000-0200-00004B000000}"/>
    <hyperlink ref="A57" r:id="rId77" xr:uid="{00000000-0004-0000-0200-00004C000000}"/>
    <hyperlink ref="A58" r:id="rId78" xr:uid="{00000000-0004-0000-0200-00004D000000}"/>
    <hyperlink ref="A59" r:id="rId79" xr:uid="{00000000-0004-0000-0200-00004E000000}"/>
    <hyperlink ref="A60" r:id="rId80" xr:uid="{00000000-0004-0000-0200-00004F000000}"/>
    <hyperlink ref="A61" r:id="rId81" xr:uid="{00000000-0004-0000-0200-000050000000}"/>
    <hyperlink ref="A62" r:id="rId82" xr:uid="{00000000-0004-0000-0200-000051000000}"/>
    <hyperlink ref="A63" r:id="rId83" xr:uid="{00000000-0004-0000-0200-000052000000}"/>
    <hyperlink ref="A64" r:id="rId84" xr:uid="{00000000-0004-0000-0200-000053000000}"/>
    <hyperlink ref="A65" r:id="rId85" xr:uid="{00000000-0004-0000-0200-000054000000}"/>
    <hyperlink ref="A66" r:id="rId86" xr:uid="{00000000-0004-0000-0200-000055000000}"/>
    <hyperlink ref="A67" r:id="rId87" xr:uid="{00000000-0004-0000-0200-000056000000}"/>
    <hyperlink ref="A68" r:id="rId88" xr:uid="{00000000-0004-0000-0200-000057000000}"/>
    <hyperlink ref="A69" r:id="rId89" xr:uid="{00000000-0004-0000-0200-000058000000}"/>
    <hyperlink ref="A70" r:id="rId90" xr:uid="{00000000-0004-0000-0200-000059000000}"/>
    <hyperlink ref="A71" r:id="rId91" xr:uid="{00000000-0004-0000-0200-00005A000000}"/>
    <hyperlink ref="A72" r:id="rId92" xr:uid="{00000000-0004-0000-0200-00005B000000}"/>
    <hyperlink ref="A73" r:id="rId93" xr:uid="{00000000-0004-0000-0200-00005C000000}"/>
    <hyperlink ref="A74" r:id="rId94" xr:uid="{00000000-0004-0000-0200-00005D000000}"/>
    <hyperlink ref="A75" r:id="rId95" xr:uid="{00000000-0004-0000-0200-00005E000000}"/>
    <hyperlink ref="A76" r:id="rId96" xr:uid="{00000000-0004-0000-0200-00005F000000}"/>
    <hyperlink ref="A77" r:id="rId97" xr:uid="{00000000-0004-0000-0200-000060000000}"/>
    <hyperlink ref="A78" r:id="rId98" xr:uid="{00000000-0004-0000-0200-000061000000}"/>
    <hyperlink ref="A79" r:id="rId99" xr:uid="{00000000-0004-0000-0200-000062000000}"/>
    <hyperlink ref="A80" r:id="rId100" xr:uid="{00000000-0004-0000-0200-000063000000}"/>
    <hyperlink ref="A81" r:id="rId101" xr:uid="{00000000-0004-0000-0200-000064000000}"/>
    <hyperlink ref="A82" r:id="rId102" xr:uid="{00000000-0004-0000-0200-000065000000}"/>
    <hyperlink ref="A83" r:id="rId103" xr:uid="{00000000-0004-0000-0200-000066000000}"/>
    <hyperlink ref="D83" r:id="rId104" xr:uid="{00000000-0004-0000-0200-000067000000}"/>
    <hyperlink ref="A84" r:id="rId105" xr:uid="{00000000-0004-0000-0200-000068000000}"/>
    <hyperlink ref="A85" r:id="rId106" xr:uid="{00000000-0004-0000-0200-000069000000}"/>
    <hyperlink ref="A86" r:id="rId107" xr:uid="{00000000-0004-0000-0200-00006A000000}"/>
    <hyperlink ref="A87" r:id="rId108" xr:uid="{00000000-0004-0000-0200-00006B000000}"/>
    <hyperlink ref="D87" r:id="rId109" xr:uid="{00000000-0004-0000-0200-00006C000000}"/>
    <hyperlink ref="A88" r:id="rId110" xr:uid="{00000000-0004-0000-0200-00006D000000}"/>
    <hyperlink ref="A89" r:id="rId111" xr:uid="{00000000-0004-0000-0200-00006E000000}"/>
    <hyperlink ref="D89" r:id="rId112" xr:uid="{00000000-0004-0000-0200-00006F000000}"/>
    <hyperlink ref="A90" r:id="rId113" xr:uid="{00000000-0004-0000-0200-000070000000}"/>
    <hyperlink ref="A91" r:id="rId114" xr:uid="{00000000-0004-0000-0200-000071000000}"/>
    <hyperlink ref="D91" r:id="rId115" xr:uid="{00000000-0004-0000-0200-000072000000}"/>
    <hyperlink ref="A92" r:id="rId116" xr:uid="{00000000-0004-0000-0200-000073000000}"/>
    <hyperlink ref="D92" r:id="rId117" xr:uid="{00000000-0004-0000-0200-000074000000}"/>
    <hyperlink ref="A93" r:id="rId118" xr:uid="{00000000-0004-0000-0200-000075000000}"/>
    <hyperlink ref="A94" r:id="rId119" xr:uid="{00000000-0004-0000-0200-000076000000}"/>
    <hyperlink ref="D94" r:id="rId120" xr:uid="{00000000-0004-0000-0200-000077000000}"/>
    <hyperlink ref="A95" r:id="rId121" xr:uid="{00000000-0004-0000-0200-000078000000}"/>
    <hyperlink ref="A96" r:id="rId122" xr:uid="{00000000-0004-0000-0200-000079000000}"/>
    <hyperlink ref="A97" r:id="rId123" xr:uid="{00000000-0004-0000-0200-00007A000000}"/>
    <hyperlink ref="A98" r:id="rId124" xr:uid="{00000000-0004-0000-0200-00007B000000}"/>
    <hyperlink ref="A99" r:id="rId125" xr:uid="{00000000-0004-0000-0200-00007C000000}"/>
    <hyperlink ref="A100" r:id="rId126" xr:uid="{00000000-0004-0000-0200-00007D000000}"/>
    <hyperlink ref="D100" r:id="rId127" xr:uid="{00000000-0004-0000-0200-00007E000000}"/>
    <hyperlink ref="A101" r:id="rId128" xr:uid="{00000000-0004-0000-0200-00007F000000}"/>
    <hyperlink ref="A102" r:id="rId129" xr:uid="{00000000-0004-0000-0200-000080000000}"/>
    <hyperlink ref="A103" r:id="rId130" xr:uid="{00000000-0004-0000-0200-000081000000}"/>
    <hyperlink ref="A104" r:id="rId131" xr:uid="{00000000-0004-0000-0200-000082000000}"/>
    <hyperlink ref="A105" r:id="rId132" xr:uid="{00000000-0004-0000-0200-000083000000}"/>
    <hyperlink ref="A106" r:id="rId133" xr:uid="{00000000-0004-0000-0200-000084000000}"/>
    <hyperlink ref="A107" r:id="rId134" xr:uid="{00000000-0004-0000-0200-000085000000}"/>
    <hyperlink ref="A108" r:id="rId135" xr:uid="{00000000-0004-0000-0200-000086000000}"/>
    <hyperlink ref="D108" r:id="rId136" xr:uid="{00000000-0004-0000-0200-000087000000}"/>
    <hyperlink ref="A109" r:id="rId137" xr:uid="{00000000-0004-0000-0200-000088000000}"/>
    <hyperlink ref="A110" r:id="rId138" xr:uid="{00000000-0004-0000-0200-000089000000}"/>
    <hyperlink ref="A111" r:id="rId139" xr:uid="{00000000-0004-0000-0200-00008A000000}"/>
    <hyperlink ref="A112" r:id="rId140" xr:uid="{00000000-0004-0000-0200-00008B000000}"/>
    <hyperlink ref="A113" r:id="rId141" xr:uid="{00000000-0004-0000-0200-00008C000000}"/>
    <hyperlink ref="A114" r:id="rId142" xr:uid="{00000000-0004-0000-0200-00008D000000}"/>
    <hyperlink ref="A115" r:id="rId143" xr:uid="{00000000-0004-0000-0200-00008E000000}"/>
    <hyperlink ref="A116" r:id="rId144" xr:uid="{00000000-0004-0000-0200-00008F000000}"/>
    <hyperlink ref="A117" r:id="rId145" xr:uid="{00000000-0004-0000-0200-000090000000}"/>
    <hyperlink ref="A118" r:id="rId146" xr:uid="{00000000-0004-0000-0200-000091000000}"/>
    <hyperlink ref="A119" r:id="rId147" xr:uid="{00000000-0004-0000-0200-000092000000}"/>
    <hyperlink ref="A120" r:id="rId148" xr:uid="{00000000-0004-0000-0200-000093000000}"/>
    <hyperlink ref="A121" r:id="rId149" xr:uid="{00000000-0004-0000-0200-000094000000}"/>
    <hyperlink ref="D121" r:id="rId150" xr:uid="{00000000-0004-0000-0200-000095000000}"/>
    <hyperlink ref="A122" r:id="rId151" xr:uid="{00000000-0004-0000-0200-000096000000}"/>
    <hyperlink ref="A123" r:id="rId152" xr:uid="{00000000-0004-0000-0200-000097000000}"/>
    <hyperlink ref="A124" r:id="rId153" xr:uid="{00000000-0004-0000-0200-000098000000}"/>
    <hyperlink ref="D124" r:id="rId154" xr:uid="{00000000-0004-0000-0200-000099000000}"/>
    <hyperlink ref="A125" r:id="rId155" xr:uid="{00000000-0004-0000-0200-00009A000000}"/>
    <hyperlink ref="A126" r:id="rId156" xr:uid="{00000000-0004-0000-0200-00009B000000}"/>
    <hyperlink ref="A127" r:id="rId157" xr:uid="{00000000-0004-0000-0200-00009C000000}"/>
    <hyperlink ref="A128" r:id="rId158" xr:uid="{00000000-0004-0000-0200-00009D000000}"/>
    <hyperlink ref="A129" r:id="rId159" xr:uid="{00000000-0004-0000-0200-00009E000000}"/>
    <hyperlink ref="A130" r:id="rId160" xr:uid="{00000000-0004-0000-0200-00009F000000}"/>
    <hyperlink ref="A131" r:id="rId161" xr:uid="{00000000-0004-0000-0200-0000A0000000}"/>
    <hyperlink ref="D131" r:id="rId162" xr:uid="{00000000-0004-0000-0200-0000A1000000}"/>
    <hyperlink ref="A132" r:id="rId163" xr:uid="{00000000-0004-0000-0200-0000A2000000}"/>
    <hyperlink ref="A133" r:id="rId164" xr:uid="{00000000-0004-0000-0200-0000A3000000}"/>
    <hyperlink ref="A134" r:id="rId165" xr:uid="{00000000-0004-0000-0200-0000A4000000}"/>
    <hyperlink ref="A135" r:id="rId166" xr:uid="{00000000-0004-0000-0200-0000A5000000}"/>
    <hyperlink ref="A136" r:id="rId167" xr:uid="{00000000-0004-0000-0200-0000A6000000}"/>
    <hyperlink ref="A137" r:id="rId168" xr:uid="{00000000-0004-0000-0200-0000A7000000}"/>
    <hyperlink ref="A138" r:id="rId169" xr:uid="{00000000-0004-0000-0200-0000A8000000}"/>
    <hyperlink ref="A139" r:id="rId170" xr:uid="{00000000-0004-0000-0200-0000A9000000}"/>
    <hyperlink ref="A140" r:id="rId171" xr:uid="{00000000-0004-0000-0200-0000AA000000}"/>
    <hyperlink ref="D140" r:id="rId172" xr:uid="{00000000-0004-0000-0200-0000AB000000}"/>
    <hyperlink ref="A141" r:id="rId173" xr:uid="{00000000-0004-0000-0200-0000AC000000}"/>
    <hyperlink ref="A142" r:id="rId174" xr:uid="{00000000-0004-0000-0200-0000AD000000}"/>
    <hyperlink ref="D142" r:id="rId175" xr:uid="{00000000-0004-0000-0200-0000AE000000}"/>
    <hyperlink ref="A143" r:id="rId176" xr:uid="{00000000-0004-0000-0200-0000AF000000}"/>
    <hyperlink ref="A144" r:id="rId177" xr:uid="{00000000-0004-0000-0200-0000B0000000}"/>
    <hyperlink ref="D144" r:id="rId178" xr:uid="{00000000-0004-0000-0200-0000B1000000}"/>
    <hyperlink ref="A145" r:id="rId179" xr:uid="{00000000-0004-0000-0200-0000B2000000}"/>
    <hyperlink ref="A146" r:id="rId180" xr:uid="{00000000-0004-0000-0200-0000B3000000}"/>
    <hyperlink ref="A147" r:id="rId181" xr:uid="{00000000-0004-0000-0200-0000B4000000}"/>
    <hyperlink ref="A148" r:id="rId182" xr:uid="{00000000-0004-0000-0200-0000B5000000}"/>
    <hyperlink ref="D148" r:id="rId183" xr:uid="{00000000-0004-0000-0200-0000B6000000}"/>
    <hyperlink ref="A149" r:id="rId184" xr:uid="{00000000-0004-0000-0200-0000B7000000}"/>
    <hyperlink ref="A150" r:id="rId185" xr:uid="{00000000-0004-0000-0200-0000B8000000}"/>
    <hyperlink ref="D150" r:id="rId186" xr:uid="{00000000-0004-0000-0200-0000B9000000}"/>
    <hyperlink ref="A151" r:id="rId187" xr:uid="{00000000-0004-0000-0200-0000BA000000}"/>
    <hyperlink ref="A152" r:id="rId188" xr:uid="{00000000-0004-0000-0200-0000BB000000}"/>
    <hyperlink ref="D152" r:id="rId189" xr:uid="{00000000-0004-0000-0200-0000BC000000}"/>
    <hyperlink ref="A153" r:id="rId190" xr:uid="{00000000-0004-0000-0200-0000BD000000}"/>
    <hyperlink ref="A154" r:id="rId191" xr:uid="{00000000-0004-0000-0200-0000BE000000}"/>
    <hyperlink ref="A155" r:id="rId192" xr:uid="{00000000-0004-0000-0200-0000BF000000}"/>
    <hyperlink ref="A156" r:id="rId193" xr:uid="{00000000-0004-0000-0200-0000C0000000}"/>
    <hyperlink ref="A157" r:id="rId194" xr:uid="{00000000-0004-0000-0200-0000C1000000}"/>
    <hyperlink ref="D157" r:id="rId195" xr:uid="{00000000-0004-0000-0200-0000C2000000}"/>
    <hyperlink ref="A158" r:id="rId196" xr:uid="{00000000-0004-0000-0200-0000C3000000}"/>
    <hyperlink ref="A159" r:id="rId197" xr:uid="{00000000-0004-0000-0200-0000C4000000}"/>
    <hyperlink ref="A160" r:id="rId198" xr:uid="{00000000-0004-0000-0200-0000C5000000}"/>
    <hyperlink ref="D160" r:id="rId199" xr:uid="{00000000-0004-0000-0200-0000C6000000}"/>
    <hyperlink ref="A161" r:id="rId200" xr:uid="{00000000-0004-0000-0200-0000C7000000}"/>
    <hyperlink ref="A162" r:id="rId201" xr:uid="{00000000-0004-0000-0200-0000C8000000}"/>
    <hyperlink ref="A163" r:id="rId202" xr:uid="{00000000-0004-0000-0200-0000C9000000}"/>
    <hyperlink ref="A164" r:id="rId203" xr:uid="{00000000-0004-0000-0200-0000CA000000}"/>
    <hyperlink ref="D164" r:id="rId204" xr:uid="{00000000-0004-0000-0200-0000CB000000}"/>
    <hyperlink ref="A165" r:id="rId205" xr:uid="{00000000-0004-0000-0200-0000CC000000}"/>
    <hyperlink ref="A166" r:id="rId206" xr:uid="{00000000-0004-0000-0200-0000CD000000}"/>
    <hyperlink ref="A167" r:id="rId207" xr:uid="{00000000-0004-0000-0200-0000CE000000}"/>
    <hyperlink ref="A168" r:id="rId208" xr:uid="{00000000-0004-0000-0200-0000CF000000}"/>
    <hyperlink ref="A169" r:id="rId209" xr:uid="{00000000-0004-0000-0200-0000D0000000}"/>
    <hyperlink ref="A170" r:id="rId210" xr:uid="{00000000-0004-0000-0200-0000D1000000}"/>
    <hyperlink ref="D170" r:id="rId211" xr:uid="{00000000-0004-0000-0200-0000D2000000}"/>
    <hyperlink ref="A171" r:id="rId212" xr:uid="{00000000-0004-0000-0200-0000D3000000}"/>
    <hyperlink ref="A172" r:id="rId213" xr:uid="{00000000-0004-0000-0200-0000D4000000}"/>
    <hyperlink ref="D172" r:id="rId214" xr:uid="{00000000-0004-0000-0200-0000D5000000}"/>
    <hyperlink ref="A173" r:id="rId215" xr:uid="{00000000-0004-0000-0200-0000D6000000}"/>
    <hyperlink ref="D173" r:id="rId216" xr:uid="{00000000-0004-0000-0200-0000D7000000}"/>
    <hyperlink ref="A174" r:id="rId217" xr:uid="{00000000-0004-0000-0200-0000D8000000}"/>
    <hyperlink ref="A175" r:id="rId218" xr:uid="{00000000-0004-0000-0200-0000D9000000}"/>
    <hyperlink ref="D175" r:id="rId219" xr:uid="{00000000-0004-0000-0200-0000DA000000}"/>
    <hyperlink ref="A176" r:id="rId220" xr:uid="{00000000-0004-0000-0200-0000DB000000}"/>
    <hyperlink ref="A177" r:id="rId221" xr:uid="{00000000-0004-0000-0200-0000DC000000}"/>
    <hyperlink ref="A178" r:id="rId222" xr:uid="{00000000-0004-0000-0200-0000DD000000}"/>
    <hyperlink ref="D178" r:id="rId223" xr:uid="{00000000-0004-0000-0200-0000DE000000}"/>
    <hyperlink ref="A179" r:id="rId224" xr:uid="{00000000-0004-0000-0200-0000DF000000}"/>
    <hyperlink ref="A180" r:id="rId225" xr:uid="{00000000-0004-0000-0200-0000E0000000}"/>
    <hyperlink ref="A181" r:id="rId226" xr:uid="{00000000-0004-0000-0200-0000E1000000}"/>
    <hyperlink ref="D181" r:id="rId227" xr:uid="{00000000-0004-0000-0200-0000E2000000}"/>
    <hyperlink ref="A182" r:id="rId228" xr:uid="{00000000-0004-0000-0200-0000E3000000}"/>
    <hyperlink ref="D182" r:id="rId229" xr:uid="{00000000-0004-0000-0200-0000E4000000}"/>
    <hyperlink ref="A183" r:id="rId230" xr:uid="{00000000-0004-0000-0200-0000E5000000}"/>
    <hyperlink ref="A184" r:id="rId231" xr:uid="{00000000-0004-0000-0200-0000E6000000}"/>
    <hyperlink ref="D184" r:id="rId232" xr:uid="{00000000-0004-0000-0200-0000E7000000}"/>
    <hyperlink ref="A185" r:id="rId233" xr:uid="{00000000-0004-0000-0200-0000E8000000}"/>
    <hyperlink ref="A186" r:id="rId234" xr:uid="{00000000-0004-0000-0200-0000E9000000}"/>
    <hyperlink ref="A187" r:id="rId235" xr:uid="{00000000-0004-0000-0200-0000EA000000}"/>
    <hyperlink ref="A188" r:id="rId236" xr:uid="{00000000-0004-0000-0200-0000EB000000}"/>
    <hyperlink ref="D188" r:id="rId237" xr:uid="{00000000-0004-0000-0200-0000EC000000}"/>
    <hyperlink ref="A189" r:id="rId238" xr:uid="{00000000-0004-0000-0200-0000ED000000}"/>
    <hyperlink ref="D189" r:id="rId239" xr:uid="{00000000-0004-0000-0200-0000EE000000}"/>
    <hyperlink ref="A190" r:id="rId240" xr:uid="{00000000-0004-0000-0200-0000EF000000}"/>
    <hyperlink ref="D190" r:id="rId241" xr:uid="{00000000-0004-0000-0200-0000F0000000}"/>
    <hyperlink ref="A191" r:id="rId242" xr:uid="{00000000-0004-0000-0200-0000F1000000}"/>
    <hyperlink ref="A192" r:id="rId243" xr:uid="{00000000-0004-0000-0200-0000F2000000}"/>
    <hyperlink ref="D192" r:id="rId244" xr:uid="{00000000-0004-0000-0200-0000F3000000}"/>
    <hyperlink ref="A193" r:id="rId245" xr:uid="{00000000-0004-0000-0200-0000F4000000}"/>
    <hyperlink ref="A194" r:id="rId246" xr:uid="{00000000-0004-0000-0200-0000F5000000}"/>
    <hyperlink ref="A195" r:id="rId247" xr:uid="{00000000-0004-0000-0200-0000F6000000}"/>
    <hyperlink ref="A196" r:id="rId248" xr:uid="{00000000-0004-0000-0200-0000F7000000}"/>
    <hyperlink ref="D196" r:id="rId249" xr:uid="{00000000-0004-0000-0200-0000F8000000}"/>
    <hyperlink ref="A197" r:id="rId250" xr:uid="{00000000-0004-0000-0200-0000F9000000}"/>
    <hyperlink ref="D197" r:id="rId251" xr:uid="{00000000-0004-0000-0200-0000FA000000}"/>
    <hyperlink ref="A198" r:id="rId252" xr:uid="{00000000-0004-0000-0200-0000FB000000}"/>
    <hyperlink ref="A199" r:id="rId253" xr:uid="{00000000-0004-0000-0200-0000FC000000}"/>
    <hyperlink ref="A200" r:id="rId254" xr:uid="{00000000-0004-0000-0200-0000FD000000}"/>
    <hyperlink ref="D200" r:id="rId255" xr:uid="{00000000-0004-0000-0200-0000FE000000}"/>
    <hyperlink ref="A201" r:id="rId256" xr:uid="{00000000-0004-0000-0200-0000FF000000}"/>
    <hyperlink ref="A202" r:id="rId257" xr:uid="{00000000-0004-0000-0200-000000010000}"/>
    <hyperlink ref="A203" r:id="rId258" xr:uid="{00000000-0004-0000-0200-000001010000}"/>
    <hyperlink ref="A204" r:id="rId259" xr:uid="{00000000-0004-0000-0200-000002010000}"/>
    <hyperlink ref="A205" r:id="rId260" xr:uid="{00000000-0004-0000-0200-000003010000}"/>
    <hyperlink ref="A206" r:id="rId261" xr:uid="{00000000-0004-0000-0200-000004010000}"/>
    <hyperlink ref="A207" r:id="rId262" xr:uid="{00000000-0004-0000-0200-000005010000}"/>
    <hyperlink ref="A208" r:id="rId263" xr:uid="{00000000-0004-0000-0200-000006010000}"/>
    <hyperlink ref="A209" r:id="rId264" xr:uid="{00000000-0004-0000-0200-000007010000}"/>
    <hyperlink ref="A210" r:id="rId265" xr:uid="{00000000-0004-0000-0200-000008010000}"/>
    <hyperlink ref="A211" r:id="rId266" xr:uid="{00000000-0004-0000-0200-000009010000}"/>
    <hyperlink ref="A212" r:id="rId267" xr:uid="{00000000-0004-0000-0200-00000A010000}"/>
    <hyperlink ref="A213" r:id="rId268" xr:uid="{00000000-0004-0000-0200-00000B010000}"/>
    <hyperlink ref="A214" r:id="rId269" xr:uid="{00000000-0004-0000-0200-00000C010000}"/>
    <hyperlink ref="A215" r:id="rId270" xr:uid="{00000000-0004-0000-0200-00000D010000}"/>
    <hyperlink ref="D215" r:id="rId271" xr:uid="{00000000-0004-0000-0200-00000E010000}"/>
    <hyperlink ref="A216" r:id="rId272" xr:uid="{00000000-0004-0000-0200-00000F010000}"/>
    <hyperlink ref="A217" r:id="rId273" xr:uid="{00000000-0004-0000-0200-000010010000}"/>
    <hyperlink ref="A218" r:id="rId274" xr:uid="{00000000-0004-0000-0200-000011010000}"/>
    <hyperlink ref="D218" r:id="rId275" xr:uid="{00000000-0004-0000-0200-000012010000}"/>
    <hyperlink ref="A219" r:id="rId276" xr:uid="{00000000-0004-0000-0200-000013010000}"/>
    <hyperlink ref="D219" r:id="rId277" xr:uid="{00000000-0004-0000-0200-000014010000}"/>
    <hyperlink ref="A220" r:id="rId278" xr:uid="{00000000-0004-0000-0200-000015010000}"/>
    <hyperlink ref="D220" r:id="rId279" xr:uid="{00000000-0004-0000-0200-000016010000}"/>
    <hyperlink ref="A221" r:id="rId280" xr:uid="{00000000-0004-0000-0200-000017010000}"/>
    <hyperlink ref="D221" r:id="rId281" xr:uid="{00000000-0004-0000-0200-000018010000}"/>
    <hyperlink ref="A222" r:id="rId282" xr:uid="{00000000-0004-0000-0200-000019010000}"/>
    <hyperlink ref="A223" r:id="rId283" xr:uid="{00000000-0004-0000-0200-00001A010000}"/>
    <hyperlink ref="D223" r:id="rId284" xr:uid="{00000000-0004-0000-0200-00001B010000}"/>
    <hyperlink ref="A224" r:id="rId285" xr:uid="{00000000-0004-0000-0200-00001C010000}"/>
    <hyperlink ref="A225" r:id="rId286" xr:uid="{00000000-0004-0000-0200-00001D010000}"/>
    <hyperlink ref="D225" r:id="rId287" xr:uid="{00000000-0004-0000-0200-00001E010000}"/>
    <hyperlink ref="A226" r:id="rId288" xr:uid="{00000000-0004-0000-0200-00001F010000}"/>
    <hyperlink ref="A227" r:id="rId289" xr:uid="{00000000-0004-0000-0200-000020010000}"/>
    <hyperlink ref="A228" r:id="rId290" xr:uid="{00000000-0004-0000-0200-000021010000}"/>
    <hyperlink ref="A229" r:id="rId291" xr:uid="{00000000-0004-0000-0200-000022010000}"/>
    <hyperlink ref="D229" r:id="rId292" xr:uid="{00000000-0004-0000-0200-000023010000}"/>
    <hyperlink ref="A230" r:id="rId293" xr:uid="{00000000-0004-0000-0200-000024010000}"/>
    <hyperlink ref="D230" r:id="rId294" xr:uid="{00000000-0004-0000-0200-000025010000}"/>
    <hyperlink ref="A231" r:id="rId295" xr:uid="{00000000-0004-0000-0200-000026010000}"/>
    <hyperlink ref="A232" r:id="rId296" xr:uid="{00000000-0004-0000-0200-000027010000}"/>
    <hyperlink ref="A233" r:id="rId297" xr:uid="{00000000-0004-0000-0200-000028010000}"/>
    <hyperlink ref="A234" r:id="rId298" xr:uid="{00000000-0004-0000-0200-000029010000}"/>
    <hyperlink ref="D234" r:id="rId299" xr:uid="{00000000-0004-0000-0200-00002A010000}"/>
    <hyperlink ref="A235" r:id="rId300" xr:uid="{00000000-0004-0000-0200-00002B010000}"/>
    <hyperlink ref="A236" r:id="rId301" xr:uid="{00000000-0004-0000-0200-00002C010000}"/>
    <hyperlink ref="A237" r:id="rId302" xr:uid="{00000000-0004-0000-0200-00002D010000}"/>
    <hyperlink ref="A238" r:id="rId303" xr:uid="{00000000-0004-0000-0200-00002E010000}"/>
    <hyperlink ref="D238" r:id="rId304" xr:uid="{00000000-0004-0000-0200-00002F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Sheet16</vt:lpstr>
      <vt:lpstr>LinkedIn 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Animesh Gupta</cp:lastModifiedBy>
  <dcterms:modified xsi:type="dcterms:W3CDTF">2026-04-17T18:48:07Z</dcterms:modified>
</cp:coreProperties>
</file>